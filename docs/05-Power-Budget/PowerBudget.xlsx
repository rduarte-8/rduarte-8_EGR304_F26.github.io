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uart\Downloads\"/>
    </mc:Choice>
  </mc:AlternateContent>
  <xr:revisionPtr revIDLastSave="0" documentId="13_ncr:1_{8EAC4B42-8278-48F6-A9D9-C073EE329EC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ower Budg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  <c r="G71" i="1"/>
  <c r="G70" i="1"/>
  <c r="G56" i="1"/>
  <c r="G55" i="1"/>
  <c r="G54" i="1"/>
  <c r="G45" i="1"/>
  <c r="G44" i="1"/>
  <c r="G43" i="1"/>
  <c r="G35" i="1"/>
  <c r="G37" i="1" s="1"/>
  <c r="G34" i="1"/>
  <c r="G33" i="1"/>
  <c r="G32" i="1"/>
  <c r="G31" i="1"/>
  <c r="G30" i="1"/>
  <c r="G22" i="1"/>
  <c r="G21" i="1"/>
  <c r="G20" i="1"/>
  <c r="G19" i="1"/>
  <c r="G18" i="1"/>
  <c r="G13" i="1"/>
  <c r="G12" i="1"/>
  <c r="G11" i="1"/>
  <c r="G10" i="1"/>
  <c r="G9" i="1"/>
  <c r="G40" i="1" l="1"/>
  <c r="G74" i="1"/>
  <c r="G7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00000000-0006-0000-0000-000001000000}">
      <text>
        <r>
          <rPr>
            <sz val="12"/>
            <color rgb="FF000000"/>
            <rFont val="Calibri"/>
          </rPr>
          <t>For inductive loads (e.g., motors, solenoids) this is often called "stall current" on the data sheet</t>
        </r>
      </text>
    </comment>
  </commentList>
</comments>
</file>

<file path=xl/sharedStrings.xml><?xml version="1.0" encoding="utf-8"?>
<sst xmlns="http://schemas.openxmlformats.org/spreadsheetml/2006/main" count="152" uniqueCount="64">
  <si>
    <t>Team Number:</t>
  </si>
  <si>
    <t>Project Name:</t>
  </si>
  <si>
    <t>Team Member Names:</t>
  </si>
  <si>
    <t>Version:</t>
  </si>
  <si>
    <t>All Major Components</t>
  </si>
  <si>
    <t>Component Name</t>
  </si>
  <si>
    <t>Part Number</t>
  </si>
  <si>
    <t>Supply
Voltage
Range</t>
  </si>
  <si>
    <t>#</t>
  </si>
  <si>
    <t>Absolute
Maximum
Current (mA)</t>
  </si>
  <si>
    <t>Total
Current
(mA)</t>
  </si>
  <si>
    <t>Unit</t>
  </si>
  <si>
    <t xml:space="preserve"> +5V Power Rail</t>
  </si>
  <si>
    <t>External Power Source 1</t>
  </si>
  <si>
    <t>Output Voltage</t>
  </si>
  <si>
    <t>Pressure Pad Subsystem</t>
  </si>
  <si>
    <t>Ramon Duarte</t>
  </si>
  <si>
    <t>1.0</t>
  </si>
  <si>
    <t>Microcontroller</t>
  </si>
  <si>
    <t>PIC18F57Q10</t>
  </si>
  <si>
    <t>1.8 - 5.5 V</t>
  </si>
  <si>
    <t>mA</t>
  </si>
  <si>
    <t>Quad op-amp</t>
  </si>
  <si>
    <t>MCP6004</t>
  </si>
  <si>
    <t>1.8 - 6.0 V</t>
  </si>
  <si>
    <t>Indicator LED</t>
  </si>
  <si>
    <t>D1 (generic LED)</t>
  </si>
  <si>
    <t>5 V rail (330 ohm series R)</t>
  </si>
  <si>
    <t>Pressure pad / force sensor</t>
  </si>
  <si>
    <t>FSR01CE</t>
  </si>
  <si>
    <t>5 V circuit</t>
  </si>
  <si>
    <t>N/A - no +12V rail</t>
  </si>
  <si>
    <t>Subtotal</t>
  </si>
  <si>
    <t>Safety Margin</t>
  </si>
  <si>
    <t>Total Current Required on +12V Rail</t>
  </si>
  <si>
    <t>c1. Regulator or Source Choice</t>
  </si>
  <si>
    <t>N/A</t>
  </si>
  <si>
    <t>Total Remaining Current Available on +12V Rail</t>
  </si>
  <si>
    <t>Total Current Required on +5V Rail</t>
  </si>
  <si>
    <t>c2. Regulator or Source Choice</t>
  </si>
  <si>
    <t>+5V Regulator</t>
  </si>
  <si>
    <t>MC7805CTG</t>
  </si>
  <si>
    <t>7 - 35 V input</t>
  </si>
  <si>
    <t>Total Remaining Current Available on +5V Rail</t>
  </si>
  <si>
    <t>N/A - no -5V rail</t>
  </si>
  <si>
    <t>c - Regulator or Source Choice</t>
  </si>
  <si>
    <t>Total Remaining Current Available on -5V Rail</t>
  </si>
  <si>
    <t>N/A - no +3.3V rail</t>
  </si>
  <si>
    <t>Total Remaining Current Available on +3.3V Rail</t>
  </si>
  <si>
    <t>Power Source 1 Selection</t>
  </si>
  <si>
    <t>AC/DC adapter to barrel jack</t>
  </si>
  <si>
    <t>ALT-0601</t>
  </si>
  <si>
    <t>100-240 VAC, 50/60 Hz</t>
  </si>
  <si>
    <t>6 VDC</t>
  </si>
  <si>
    <t>Power Rails Connected to External Power Source 1</t>
  </si>
  <si>
    <t>Estimated current required from source</t>
  </si>
  <si>
    <t>Total Remaining Current Available on External Power Source 1</t>
  </si>
  <si>
    <t>External Power Source 2</t>
  </si>
  <si>
    <t>N/A - only one source required</t>
  </si>
  <si>
    <t>E. Calculate Battery Life (if applicable).</t>
  </si>
  <si>
    <t>N/A - subsystem uses external DC wall supply</t>
  </si>
  <si>
    <t>Notes</t>
  </si>
  <si>
    <t>FSR pressure sensor, pushbutton, resistors, and capacitors are passive and are excluded from Section A per template instructions.</t>
  </si>
  <si>
    <t>Pressure  pad power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</si>
</sst>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rgb="FF000000"/>
      <name val="Calibri"/>
    </font>
    <font>
      <b/>
      <sz val="24"/>
      <color rgb="FF000000"/>
      <name val="Calibri"/>
    </font>
    <font>
      <b/>
      <sz val="12"/>
      <color rgb="FF000000"/>
      <name val="Calibri"/>
    </font>
    <font>
      <sz val="12"/>
      <name val="Calibri"/>
    </font>
    <font>
      <b/>
      <sz val="12"/>
      <color rgb="FF000000"/>
      <name val="Arial"/>
    </font>
    <font>
      <b/>
      <i/>
      <sz val="12"/>
      <color rgb="FF000000"/>
      <name val="Arial"/>
    </font>
    <font>
      <sz val="12"/>
      <color rgb="FF000000"/>
      <name val="Arial"/>
    </font>
    <font>
      <b/>
      <i/>
      <sz val="12"/>
      <color rgb="FF000000"/>
      <name val="Calibri"/>
    </font>
    <font>
      <sz val="12"/>
      <name val="Arial"/>
    </font>
    <font>
      <sz val="12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EEECE1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wrapText="1"/>
    </xf>
    <xf numFmtId="0" fontId="9" fillId="4" borderId="0" xfId="0" applyFont="1" applyFill="1" applyAlignment="1">
      <alignment horizontal="left" wrapText="1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1" xfId="0" applyFont="1" applyFill="1" applyBorder="1" applyAlignment="1">
      <alignment wrapText="1"/>
    </xf>
    <xf numFmtId="0" fontId="3" fillId="0" borderId="1" xfId="0" applyFont="1" applyBorder="1"/>
    <xf numFmtId="0" fontId="4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/>
    <xf numFmtId="49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3" borderId="1" xfId="0" applyFont="1" applyFill="1" applyBorder="1"/>
    <xf numFmtId="0" fontId="7" fillId="0" borderId="1" xfId="0" applyFont="1" applyBorder="1" applyAlignment="1">
      <alignment horizontal="right"/>
    </xf>
    <xf numFmtId="0" fontId="0" fillId="0" borderId="1" xfId="0" applyBorder="1"/>
    <xf numFmtId="9" fontId="0" fillId="0" borderId="1" xfId="0" applyNumberFormat="1" applyBorder="1"/>
    <xf numFmtId="0" fontId="7" fillId="0" borderId="1" xfId="0" applyFont="1" applyBorder="1"/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0" fontId="0" fillId="0" borderId="1" xfId="0" applyBorder="1" applyAlignment="1">
      <alignment horizontal="right"/>
    </xf>
    <xf numFmtId="49" fontId="5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0" fontId="4" fillId="3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 vertical="center" wrapText="1"/>
    </xf>
    <xf numFmtId="0" fontId="8" fillId="0" borderId="1" xfId="0" applyFont="1" applyBorder="1"/>
    <xf numFmtId="0" fontId="7" fillId="2" borderId="1" xfId="0" applyFont="1" applyFill="1" applyBorder="1"/>
    <xf numFmtId="0" fontId="2" fillId="3" borderId="1" xfId="0" applyFont="1" applyFill="1" applyBorder="1"/>
    <xf numFmtId="0" fontId="7" fillId="0" borderId="1" xfId="0" applyFont="1" applyBorder="1" applyAlignment="1">
      <alignment horizontal="right"/>
    </xf>
    <xf numFmtId="0" fontId="5" fillId="2" borderId="1" xfId="0" applyFont="1" applyFill="1" applyBorder="1"/>
    <xf numFmtId="0" fontId="0" fillId="2" borderId="1" xfId="0" applyFill="1" applyBorder="1"/>
    <xf numFmtId="0" fontId="6" fillId="0" borderId="1" xfId="0" applyFont="1" applyBorder="1" applyAlignment="1">
      <alignment wrapText="1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1">
    <dxf>
      <font>
        <color rgb="FF000000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752475</xdr:colOff>
      <xdr:row>49</xdr:row>
      <xdr:rowOff>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CCE2695E-70F6-3F8F-619E-C379F466EC9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9"/>
  <sheetViews>
    <sheetView tabSelected="1" workbookViewId="0">
      <selection activeCell="C6" sqref="C6"/>
    </sheetView>
  </sheetViews>
  <sheetFormatPr defaultColWidth="13.5" defaultRowHeight="15.75" x14ac:dyDescent="0.25"/>
  <cols>
    <col min="1" max="1" width="32.25" customWidth="1"/>
    <col min="2" max="2" width="29.5" customWidth="1"/>
    <col min="3" max="3" width="24.125" customWidth="1"/>
    <col min="4" max="4" width="23.25" customWidth="1"/>
    <col min="5" max="5" width="16.375" customWidth="1"/>
    <col min="6" max="6" width="37.625" customWidth="1"/>
    <col min="7" max="7" width="23.625" customWidth="1"/>
    <col min="8" max="8" width="11.5" customWidth="1"/>
  </cols>
  <sheetData>
    <row r="1" spans="1:8" ht="30" customHeight="1" x14ac:dyDescent="0.5">
      <c r="A1" s="4" t="s">
        <v>63</v>
      </c>
      <c r="B1" s="5"/>
      <c r="C1" s="5"/>
      <c r="D1" s="5"/>
      <c r="E1" s="5"/>
      <c r="F1" s="5"/>
      <c r="G1" s="5"/>
      <c r="H1" s="5"/>
    </row>
    <row r="2" spans="1:8" ht="15" customHeight="1" x14ac:dyDescent="0.25">
      <c r="A2" s="8" t="s">
        <v>0</v>
      </c>
      <c r="B2" s="9">
        <v>203</v>
      </c>
      <c r="D2" s="1"/>
      <c r="E2" s="1"/>
    </row>
    <row r="3" spans="1:8" ht="15" customHeight="1" x14ac:dyDescent="0.25">
      <c r="A3" s="10" t="s">
        <v>1</v>
      </c>
      <c r="B3" s="8" t="s">
        <v>15</v>
      </c>
      <c r="C3" s="2"/>
      <c r="D3" s="1"/>
      <c r="E3" s="1"/>
      <c r="F3" s="2"/>
      <c r="G3" s="2"/>
      <c r="H3" s="2"/>
    </row>
    <row r="4" spans="1:8" ht="15" customHeight="1" x14ac:dyDescent="0.25">
      <c r="A4" s="10" t="s">
        <v>2</v>
      </c>
      <c r="B4" s="8" t="s">
        <v>16</v>
      </c>
      <c r="C4" s="2"/>
      <c r="D4" s="1"/>
      <c r="E4" s="1"/>
      <c r="F4" s="2"/>
      <c r="G4" s="2"/>
      <c r="H4" s="2"/>
    </row>
    <row r="5" spans="1:8" ht="15" customHeight="1" x14ac:dyDescent="0.25">
      <c r="A5" s="10" t="s">
        <v>3</v>
      </c>
      <c r="B5" s="8" t="s">
        <v>17</v>
      </c>
      <c r="C5" s="2"/>
      <c r="D5" s="1"/>
      <c r="E5" s="1"/>
      <c r="F5" s="2"/>
      <c r="G5" s="2"/>
      <c r="H5" s="2"/>
    </row>
    <row r="6" spans="1:8" ht="15" customHeight="1" x14ac:dyDescent="0.25">
      <c r="A6" s="3"/>
      <c r="B6" s="2"/>
      <c r="C6" s="2"/>
      <c r="D6" s="1"/>
      <c r="E6" s="1"/>
      <c r="F6" s="2"/>
      <c r="G6" s="2"/>
      <c r="H6" s="2"/>
    </row>
    <row r="7" spans="1:8" ht="15" customHeight="1" x14ac:dyDescent="0.25">
      <c r="A7" s="11"/>
      <c r="B7" s="12"/>
      <c r="C7" s="12"/>
      <c r="D7" s="12"/>
      <c r="E7" s="12"/>
      <c r="F7" s="12"/>
      <c r="G7" s="12"/>
      <c r="H7" s="12"/>
    </row>
    <row r="8" spans="1:8" ht="15" customHeight="1" x14ac:dyDescent="0.25">
      <c r="A8" s="13" t="s">
        <v>4</v>
      </c>
      <c r="B8" s="14" t="s">
        <v>5</v>
      </c>
      <c r="C8" s="14" t="s">
        <v>6</v>
      </c>
      <c r="D8" s="13" t="s">
        <v>7</v>
      </c>
      <c r="E8" s="13" t="s">
        <v>8</v>
      </c>
      <c r="F8" s="13" t="s">
        <v>9</v>
      </c>
      <c r="G8" s="13" t="s">
        <v>10</v>
      </c>
      <c r="H8" s="13" t="s">
        <v>11</v>
      </c>
    </row>
    <row r="9" spans="1:8" ht="15" customHeight="1" x14ac:dyDescent="0.25">
      <c r="A9" s="15"/>
      <c r="B9" s="15" t="s">
        <v>18</v>
      </c>
      <c r="C9" s="15" t="s">
        <v>19</v>
      </c>
      <c r="D9" s="16" t="s">
        <v>20</v>
      </c>
      <c r="E9" s="17">
        <v>1</v>
      </c>
      <c r="F9" s="15">
        <v>250</v>
      </c>
      <c r="G9" s="15">
        <f t="shared" ref="G9:G13" si="0">E9*F9</f>
        <v>250</v>
      </c>
      <c r="H9" s="18" t="s">
        <v>21</v>
      </c>
    </row>
    <row r="10" spans="1:8" ht="15" customHeight="1" x14ac:dyDescent="0.25">
      <c r="A10" s="15"/>
      <c r="B10" s="15" t="s">
        <v>22</v>
      </c>
      <c r="C10" s="15" t="s">
        <v>23</v>
      </c>
      <c r="D10" s="16" t="s">
        <v>24</v>
      </c>
      <c r="E10" s="17">
        <v>1</v>
      </c>
      <c r="F10" s="15">
        <v>0.68</v>
      </c>
      <c r="G10" s="15">
        <f t="shared" si="0"/>
        <v>0.68</v>
      </c>
      <c r="H10" s="18" t="s">
        <v>21</v>
      </c>
    </row>
    <row r="11" spans="1:8" ht="15" customHeight="1" x14ac:dyDescent="0.25">
      <c r="A11" s="15"/>
      <c r="B11" s="15" t="s">
        <v>25</v>
      </c>
      <c r="C11" s="15" t="s">
        <v>26</v>
      </c>
      <c r="D11" s="17" t="s">
        <v>27</v>
      </c>
      <c r="E11" s="17">
        <v>1</v>
      </c>
      <c r="F11" s="15">
        <v>20</v>
      </c>
      <c r="G11" s="15">
        <f t="shared" si="0"/>
        <v>20</v>
      </c>
      <c r="H11" s="18" t="s">
        <v>21</v>
      </c>
    </row>
    <row r="12" spans="1:8" ht="15" customHeight="1" x14ac:dyDescent="0.25">
      <c r="A12" s="15"/>
      <c r="B12" s="18" t="s">
        <v>28</v>
      </c>
      <c r="C12" s="18" t="s">
        <v>29</v>
      </c>
      <c r="D12" s="19" t="s">
        <v>30</v>
      </c>
      <c r="E12" s="16">
        <v>1</v>
      </c>
      <c r="F12" s="18">
        <v>0.5</v>
      </c>
      <c r="G12" s="15">
        <f t="shared" si="0"/>
        <v>0.5</v>
      </c>
      <c r="H12" s="18" t="s">
        <v>21</v>
      </c>
    </row>
    <row r="13" spans="1:8" ht="15" customHeight="1" x14ac:dyDescent="0.25">
      <c r="A13" s="15"/>
      <c r="B13" s="15"/>
      <c r="C13" s="18"/>
      <c r="D13" s="16"/>
      <c r="E13" s="17"/>
      <c r="F13" s="15"/>
      <c r="G13" s="15">
        <f t="shared" si="0"/>
        <v>0</v>
      </c>
      <c r="H13" s="18" t="s">
        <v>21</v>
      </c>
    </row>
    <row r="14" spans="1:8" ht="15" customHeight="1" x14ac:dyDescent="0.25">
      <c r="A14" s="15"/>
      <c r="B14" s="18"/>
      <c r="C14" s="15"/>
      <c r="D14" s="16"/>
      <c r="E14" s="17"/>
      <c r="F14" s="15"/>
      <c r="G14" s="15">
        <v>0</v>
      </c>
      <c r="H14" s="18" t="s">
        <v>21</v>
      </c>
    </row>
    <row r="15" spans="1:8" ht="15" customHeight="1" x14ac:dyDescent="0.25">
      <c r="A15" s="8"/>
      <c r="B15" s="10"/>
      <c r="C15" s="8"/>
      <c r="D15" s="20"/>
      <c r="E15" s="21"/>
      <c r="F15" s="8"/>
      <c r="G15" s="8"/>
      <c r="H15" s="8"/>
    </row>
    <row r="16" spans="1:8" ht="15" customHeight="1" x14ac:dyDescent="0.25">
      <c r="A16" s="11"/>
      <c r="B16" s="12"/>
      <c r="C16" s="12"/>
      <c r="D16" s="12"/>
      <c r="E16" s="12"/>
      <c r="F16" s="12"/>
      <c r="G16" s="12"/>
      <c r="H16" s="12"/>
    </row>
    <row r="17" spans="1:8" ht="15" customHeight="1" x14ac:dyDescent="0.25">
      <c r="A17" s="22" t="s">
        <v>31</v>
      </c>
      <c r="B17" s="14" t="s">
        <v>5</v>
      </c>
      <c r="C17" s="14" t="s">
        <v>6</v>
      </c>
      <c r="D17" s="13" t="s">
        <v>7</v>
      </c>
      <c r="E17" s="13" t="s">
        <v>8</v>
      </c>
      <c r="F17" s="13" t="s">
        <v>9</v>
      </c>
      <c r="G17" s="13" t="s">
        <v>10</v>
      </c>
      <c r="H17" s="13" t="s">
        <v>11</v>
      </c>
    </row>
    <row r="18" spans="1:8" ht="15" customHeight="1" x14ac:dyDescent="0.25">
      <c r="A18" s="15"/>
      <c r="B18" s="15"/>
      <c r="C18" s="15"/>
      <c r="D18" s="16"/>
      <c r="E18" s="17"/>
      <c r="F18" s="15"/>
      <c r="G18" s="15">
        <f t="shared" ref="G18:G22" si="1">E18*F18</f>
        <v>0</v>
      </c>
      <c r="H18" s="18"/>
    </row>
    <row r="19" spans="1:8" ht="15" customHeight="1" x14ac:dyDescent="0.25">
      <c r="A19" s="15"/>
      <c r="B19" s="15"/>
      <c r="C19" s="15"/>
      <c r="D19" s="16"/>
      <c r="E19" s="17"/>
      <c r="F19" s="15"/>
      <c r="G19" s="15">
        <f t="shared" si="1"/>
        <v>0</v>
      </c>
      <c r="H19" s="18"/>
    </row>
    <row r="20" spans="1:8" ht="15" customHeight="1" x14ac:dyDescent="0.25">
      <c r="A20" s="15"/>
      <c r="B20" s="15"/>
      <c r="C20" s="15"/>
      <c r="D20" s="17"/>
      <c r="E20" s="17"/>
      <c r="F20" s="15"/>
      <c r="G20" s="15">
        <f t="shared" si="1"/>
        <v>0</v>
      </c>
      <c r="H20" s="18"/>
    </row>
    <row r="21" spans="1:8" ht="15" customHeight="1" x14ac:dyDescent="0.25">
      <c r="A21" s="15"/>
      <c r="B21" s="15"/>
      <c r="C21" s="15"/>
      <c r="D21" s="17"/>
      <c r="E21" s="17"/>
      <c r="F21" s="15"/>
      <c r="G21" s="15">
        <f t="shared" si="1"/>
        <v>0</v>
      </c>
      <c r="H21" s="18"/>
    </row>
    <row r="22" spans="1:8" ht="15" customHeight="1" x14ac:dyDescent="0.25">
      <c r="A22" s="15"/>
      <c r="B22" s="15"/>
      <c r="C22" s="15"/>
      <c r="D22" s="17"/>
      <c r="E22" s="17"/>
      <c r="F22" s="15"/>
      <c r="G22" s="15">
        <f t="shared" si="1"/>
        <v>0</v>
      </c>
      <c r="H22" s="18"/>
    </row>
    <row r="23" spans="1:8" ht="15" customHeight="1" x14ac:dyDescent="0.25">
      <c r="A23" s="15"/>
      <c r="B23" s="23" t="s">
        <v>32</v>
      </c>
      <c r="C23" s="24"/>
      <c r="D23" s="24"/>
      <c r="E23" s="24"/>
      <c r="F23" s="24"/>
      <c r="G23" s="15">
        <v>0</v>
      </c>
      <c r="H23" s="18" t="s">
        <v>21</v>
      </c>
    </row>
    <row r="24" spans="1:8" ht="15" customHeight="1" x14ac:dyDescent="0.25">
      <c r="A24" s="15"/>
      <c r="B24" s="23" t="s">
        <v>33</v>
      </c>
      <c r="C24" s="24"/>
      <c r="D24" s="24"/>
      <c r="E24" s="24"/>
      <c r="F24" s="24"/>
      <c r="G24" s="25">
        <v>0.25</v>
      </c>
      <c r="H24" s="25"/>
    </row>
    <row r="25" spans="1:8" ht="15" customHeight="1" x14ac:dyDescent="0.25">
      <c r="A25" s="26"/>
      <c r="B25" s="27" t="s">
        <v>34</v>
      </c>
      <c r="C25" s="24"/>
      <c r="D25" s="24"/>
      <c r="E25" s="24"/>
      <c r="F25" s="24"/>
      <c r="G25" s="15">
        <v>0</v>
      </c>
      <c r="H25" s="18" t="s">
        <v>21</v>
      </c>
    </row>
    <row r="26" spans="1:8" ht="15" customHeight="1" x14ac:dyDescent="0.25">
      <c r="A26" s="28"/>
      <c r="B26" s="29"/>
      <c r="C26" s="29"/>
      <c r="D26" s="16"/>
      <c r="E26" s="16"/>
      <c r="F26" s="30"/>
      <c r="G26" s="31"/>
      <c r="H26" s="15"/>
    </row>
    <row r="27" spans="1:8" ht="15" customHeight="1" x14ac:dyDescent="0.25">
      <c r="A27" s="28" t="s">
        <v>35</v>
      </c>
      <c r="B27" s="29" t="s">
        <v>36</v>
      </c>
      <c r="C27" s="29"/>
      <c r="D27" s="16"/>
      <c r="E27" s="16"/>
      <c r="F27" s="30"/>
      <c r="G27" s="31">
        <v>0</v>
      </c>
      <c r="H27" s="18" t="s">
        <v>21</v>
      </c>
    </row>
    <row r="28" spans="1:8" ht="15" customHeight="1" x14ac:dyDescent="0.25">
      <c r="A28" s="28"/>
      <c r="B28" s="32" t="s">
        <v>37</v>
      </c>
      <c r="C28" s="12"/>
      <c r="D28" s="12"/>
      <c r="E28" s="12"/>
      <c r="F28" s="12"/>
      <c r="G28" s="31">
        <v>0</v>
      </c>
      <c r="H28" s="18" t="s">
        <v>21</v>
      </c>
    </row>
    <row r="29" spans="1:8" ht="15" customHeight="1" x14ac:dyDescent="0.25">
      <c r="A29" s="22" t="s">
        <v>12</v>
      </c>
      <c r="B29" s="14" t="s">
        <v>5</v>
      </c>
      <c r="C29" s="14" t="s">
        <v>6</v>
      </c>
      <c r="D29" s="13" t="s">
        <v>7</v>
      </c>
      <c r="E29" s="13" t="s">
        <v>8</v>
      </c>
      <c r="F29" s="13" t="s">
        <v>9</v>
      </c>
      <c r="G29" s="13" t="s">
        <v>10</v>
      </c>
      <c r="H29" s="13" t="s">
        <v>11</v>
      </c>
    </row>
    <row r="30" spans="1:8" ht="15" customHeight="1" x14ac:dyDescent="0.25">
      <c r="A30" s="15"/>
      <c r="B30" s="15" t="s">
        <v>18</v>
      </c>
      <c r="C30" s="15" t="s">
        <v>19</v>
      </c>
      <c r="D30" s="17" t="s">
        <v>20</v>
      </c>
      <c r="E30" s="17">
        <v>1</v>
      </c>
      <c r="F30" s="15">
        <v>250</v>
      </c>
      <c r="G30" s="15">
        <f t="shared" ref="G30:G34" si="2">E30*F30</f>
        <v>250</v>
      </c>
      <c r="H30" s="18" t="s">
        <v>21</v>
      </c>
    </row>
    <row r="31" spans="1:8" ht="15" customHeight="1" x14ac:dyDescent="0.25">
      <c r="A31" s="15"/>
      <c r="B31" s="18" t="s">
        <v>22</v>
      </c>
      <c r="C31" s="18" t="s">
        <v>23</v>
      </c>
      <c r="D31" s="16" t="s">
        <v>24</v>
      </c>
      <c r="E31" s="16">
        <v>1</v>
      </c>
      <c r="F31" s="18">
        <v>0.68</v>
      </c>
      <c r="G31" s="15">
        <f t="shared" si="2"/>
        <v>0.68</v>
      </c>
      <c r="H31" s="18" t="s">
        <v>21</v>
      </c>
    </row>
    <row r="32" spans="1:8" ht="15" customHeight="1" x14ac:dyDescent="0.25">
      <c r="A32" s="15"/>
      <c r="B32" s="15" t="s">
        <v>25</v>
      </c>
      <c r="C32" s="15" t="s">
        <v>26</v>
      </c>
      <c r="D32" s="17" t="s">
        <v>27</v>
      </c>
      <c r="E32" s="17">
        <v>1</v>
      </c>
      <c r="F32" s="15">
        <v>20</v>
      </c>
      <c r="G32" s="15">
        <f t="shared" si="2"/>
        <v>20</v>
      </c>
      <c r="H32" s="18" t="s">
        <v>21</v>
      </c>
    </row>
    <row r="33" spans="1:8" ht="15" customHeight="1" x14ac:dyDescent="0.25">
      <c r="A33" s="15"/>
      <c r="B33" s="15" t="s">
        <v>28</v>
      </c>
      <c r="C33" s="15" t="s">
        <v>29</v>
      </c>
      <c r="D33" s="17" t="s">
        <v>30</v>
      </c>
      <c r="E33" s="17">
        <v>1</v>
      </c>
      <c r="F33" s="15">
        <v>0.5</v>
      </c>
      <c r="G33" s="15">
        <f t="shared" si="2"/>
        <v>0.5</v>
      </c>
      <c r="H33" s="18" t="s">
        <v>21</v>
      </c>
    </row>
    <row r="34" spans="1:8" ht="15" customHeight="1" x14ac:dyDescent="0.25">
      <c r="A34" s="15"/>
      <c r="B34" s="15"/>
      <c r="C34" s="15"/>
      <c r="D34" s="17"/>
      <c r="E34" s="17"/>
      <c r="F34" s="15"/>
      <c r="G34" s="15">
        <f t="shared" si="2"/>
        <v>0</v>
      </c>
      <c r="H34" s="18" t="s">
        <v>21</v>
      </c>
    </row>
    <row r="35" spans="1:8" ht="15" customHeight="1" x14ac:dyDescent="0.25">
      <c r="A35" s="15"/>
      <c r="B35" s="23" t="s">
        <v>32</v>
      </c>
      <c r="C35" s="24"/>
      <c r="D35" s="24"/>
      <c r="E35" s="24"/>
      <c r="F35" s="24"/>
      <c r="G35" s="15">
        <f>SUM(G30:G34)</f>
        <v>271.18</v>
      </c>
      <c r="H35" s="18" t="s">
        <v>21</v>
      </c>
    </row>
    <row r="36" spans="1:8" ht="15" customHeight="1" x14ac:dyDescent="0.25">
      <c r="A36" s="15"/>
      <c r="B36" s="23" t="s">
        <v>33</v>
      </c>
      <c r="C36" s="24"/>
      <c r="D36" s="24"/>
      <c r="E36" s="24"/>
      <c r="F36" s="24"/>
      <c r="G36" s="25">
        <v>0.25</v>
      </c>
      <c r="H36" s="25"/>
    </row>
    <row r="37" spans="1:8" ht="15" customHeight="1" x14ac:dyDescent="0.25">
      <c r="A37" s="26"/>
      <c r="B37" s="27" t="s">
        <v>38</v>
      </c>
      <c r="C37" s="24"/>
      <c r="D37" s="24"/>
      <c r="E37" s="24"/>
      <c r="F37" s="24"/>
      <c r="G37" s="15">
        <f>G35*(1+G36)</f>
        <v>338.97500000000002</v>
      </c>
      <c r="H37" s="18" t="s">
        <v>21</v>
      </c>
    </row>
    <row r="38" spans="1:8" ht="15" customHeight="1" x14ac:dyDescent="0.25">
      <c r="A38" s="28"/>
      <c r="B38" s="29"/>
      <c r="C38" s="29"/>
      <c r="D38" s="16"/>
      <c r="E38" s="16"/>
      <c r="F38" s="30"/>
      <c r="G38" s="31"/>
      <c r="H38" s="15"/>
    </row>
    <row r="39" spans="1:8" ht="15" customHeight="1" x14ac:dyDescent="0.25">
      <c r="A39" s="28" t="s">
        <v>39</v>
      </c>
      <c r="B39" s="29" t="s">
        <v>40</v>
      </c>
      <c r="C39" s="29" t="s">
        <v>41</v>
      </c>
      <c r="D39" s="16" t="s">
        <v>42</v>
      </c>
      <c r="E39" s="16">
        <v>1</v>
      </c>
      <c r="F39" s="30">
        <v>1000</v>
      </c>
      <c r="G39" s="31">
        <v>1000</v>
      </c>
      <c r="H39" s="18" t="s">
        <v>21</v>
      </c>
    </row>
    <row r="40" spans="1:8" ht="15" customHeight="1" x14ac:dyDescent="0.25">
      <c r="A40" s="28"/>
      <c r="B40" s="32" t="s">
        <v>43</v>
      </c>
      <c r="C40" s="12"/>
      <c r="D40" s="12"/>
      <c r="E40" s="12"/>
      <c r="F40" s="12"/>
      <c r="G40" s="31">
        <f>G39-G37</f>
        <v>661.02499999999998</v>
      </c>
      <c r="H40" s="18" t="s">
        <v>21</v>
      </c>
    </row>
    <row r="41" spans="1:8" ht="15" customHeight="1" x14ac:dyDescent="0.25">
      <c r="A41" s="22" t="s">
        <v>44</v>
      </c>
      <c r="B41" s="14" t="s">
        <v>5</v>
      </c>
      <c r="C41" s="14" t="s">
        <v>6</v>
      </c>
      <c r="D41" s="13" t="s">
        <v>7</v>
      </c>
      <c r="E41" s="13" t="s">
        <v>8</v>
      </c>
      <c r="F41" s="13" t="s">
        <v>9</v>
      </c>
      <c r="G41" s="13" t="s">
        <v>10</v>
      </c>
      <c r="H41" s="13" t="s">
        <v>11</v>
      </c>
    </row>
    <row r="42" spans="1:8" ht="15" customHeight="1" x14ac:dyDescent="0.25">
      <c r="A42" s="15"/>
      <c r="B42" s="18"/>
      <c r="C42" s="15"/>
      <c r="D42" s="16"/>
      <c r="E42" s="17"/>
      <c r="F42" s="18"/>
      <c r="G42" s="18"/>
      <c r="H42" s="18"/>
    </row>
    <row r="43" spans="1:8" ht="15" customHeight="1" x14ac:dyDescent="0.25">
      <c r="A43" s="15"/>
      <c r="B43" s="15"/>
      <c r="C43" s="15"/>
      <c r="D43" s="17"/>
      <c r="E43" s="17"/>
      <c r="F43" s="15"/>
      <c r="G43" s="15">
        <f t="shared" ref="G43:G45" si="3">E43*F43</f>
        <v>0</v>
      </c>
      <c r="H43" s="18"/>
    </row>
    <row r="44" spans="1:8" ht="15" customHeight="1" x14ac:dyDescent="0.25">
      <c r="A44" s="15"/>
      <c r="B44" s="15"/>
      <c r="C44" s="15"/>
      <c r="D44" s="17"/>
      <c r="E44" s="17"/>
      <c r="F44" s="15"/>
      <c r="G44" s="15">
        <f t="shared" si="3"/>
        <v>0</v>
      </c>
      <c r="H44" s="18"/>
    </row>
    <row r="45" spans="1:8" ht="15" customHeight="1" x14ac:dyDescent="0.25">
      <c r="A45" s="15"/>
      <c r="B45" s="15"/>
      <c r="C45" s="15"/>
      <c r="D45" s="17"/>
      <c r="E45" s="17"/>
      <c r="F45" s="15"/>
      <c r="G45" s="15">
        <f t="shared" si="3"/>
        <v>0</v>
      </c>
      <c r="H45" s="18"/>
    </row>
    <row r="46" spans="1:8" ht="15" customHeight="1" x14ac:dyDescent="0.25">
      <c r="A46" s="15"/>
      <c r="B46" s="23"/>
      <c r="C46" s="24"/>
      <c r="D46" s="24"/>
      <c r="E46" s="24"/>
      <c r="F46" s="24"/>
      <c r="G46" s="15"/>
      <c r="H46" s="18"/>
    </row>
    <row r="47" spans="1:8" ht="15" customHeight="1" x14ac:dyDescent="0.25">
      <c r="A47" s="15"/>
      <c r="B47" s="23"/>
      <c r="C47" s="24"/>
      <c r="D47" s="24"/>
      <c r="E47" s="24"/>
      <c r="F47" s="24"/>
      <c r="G47" s="25"/>
      <c r="H47" s="25"/>
    </row>
    <row r="48" spans="1:8" ht="15" customHeight="1" x14ac:dyDescent="0.25">
      <c r="A48" s="15"/>
      <c r="B48" s="27"/>
      <c r="C48" s="24"/>
      <c r="D48" s="24"/>
      <c r="E48" s="24"/>
      <c r="F48" s="24"/>
      <c r="G48" s="15"/>
      <c r="H48" s="18"/>
    </row>
    <row r="49" spans="1:8" ht="15" customHeight="1" x14ac:dyDescent="0.25">
      <c r="A49" s="28"/>
      <c r="B49" s="29"/>
      <c r="C49" s="29"/>
      <c r="D49" s="16"/>
      <c r="E49" s="16"/>
      <c r="F49" s="30"/>
      <c r="G49" s="31"/>
      <c r="H49" s="15"/>
    </row>
    <row r="50" spans="1:8" ht="15" customHeight="1" x14ac:dyDescent="0.25">
      <c r="A50" s="28" t="s">
        <v>45</v>
      </c>
      <c r="B50" s="29" t="s">
        <v>36</v>
      </c>
      <c r="C50" s="29"/>
      <c r="D50" s="16"/>
      <c r="E50" s="16"/>
      <c r="F50" s="30"/>
      <c r="G50" s="31">
        <v>0</v>
      </c>
      <c r="H50" s="18" t="s">
        <v>21</v>
      </c>
    </row>
    <row r="51" spans="1:8" ht="15" customHeight="1" x14ac:dyDescent="0.25">
      <c r="A51" s="28"/>
      <c r="B51" s="32" t="s">
        <v>46</v>
      </c>
      <c r="C51" s="12"/>
      <c r="D51" s="12"/>
      <c r="E51" s="12"/>
      <c r="F51" s="12"/>
      <c r="G51" s="31">
        <v>0</v>
      </c>
      <c r="H51" s="18" t="s">
        <v>21</v>
      </c>
    </row>
    <row r="52" spans="1:8" ht="15" customHeight="1" x14ac:dyDescent="0.25">
      <c r="A52" s="22" t="s">
        <v>47</v>
      </c>
      <c r="B52" s="14" t="s">
        <v>5</v>
      </c>
      <c r="C52" s="14" t="s">
        <v>6</v>
      </c>
      <c r="D52" s="13" t="s">
        <v>7</v>
      </c>
      <c r="E52" s="13" t="s">
        <v>8</v>
      </c>
      <c r="F52" s="13" t="s">
        <v>9</v>
      </c>
      <c r="G52" s="13" t="s">
        <v>10</v>
      </c>
      <c r="H52" s="13" t="s">
        <v>11</v>
      </c>
    </row>
    <row r="53" spans="1:8" ht="15" customHeight="1" x14ac:dyDescent="0.25">
      <c r="A53" s="15"/>
      <c r="B53" s="18"/>
      <c r="C53" s="15"/>
      <c r="D53" s="16"/>
      <c r="E53" s="17"/>
      <c r="F53" s="15"/>
      <c r="G53" s="15"/>
      <c r="H53" s="18"/>
    </row>
    <row r="54" spans="1:8" ht="15" customHeight="1" x14ac:dyDescent="0.25">
      <c r="A54" s="15"/>
      <c r="B54" s="15"/>
      <c r="C54" s="15"/>
      <c r="D54" s="17"/>
      <c r="E54" s="17"/>
      <c r="F54" s="15"/>
      <c r="G54" s="15">
        <f t="shared" ref="G54:G56" si="4">E54*F54</f>
        <v>0</v>
      </c>
      <c r="H54" s="18"/>
    </row>
    <row r="55" spans="1:8" ht="15" customHeight="1" x14ac:dyDescent="0.25">
      <c r="A55" s="15"/>
      <c r="B55" s="15"/>
      <c r="C55" s="15"/>
      <c r="D55" s="17"/>
      <c r="E55" s="17"/>
      <c r="F55" s="15"/>
      <c r="G55" s="15">
        <f t="shared" si="4"/>
        <v>0</v>
      </c>
      <c r="H55" s="18"/>
    </row>
    <row r="56" spans="1:8" ht="15" customHeight="1" x14ac:dyDescent="0.25">
      <c r="A56" s="15"/>
      <c r="B56" s="15"/>
      <c r="C56" s="15"/>
      <c r="D56" s="17"/>
      <c r="E56" s="17"/>
      <c r="F56" s="15"/>
      <c r="G56" s="15">
        <f t="shared" si="4"/>
        <v>0</v>
      </c>
      <c r="H56" s="18"/>
    </row>
    <row r="57" spans="1:8" ht="15" customHeight="1" x14ac:dyDescent="0.25">
      <c r="A57" s="15"/>
      <c r="B57" s="23"/>
      <c r="C57" s="24"/>
      <c r="D57" s="24"/>
      <c r="E57" s="24"/>
      <c r="F57" s="24"/>
      <c r="G57" s="15"/>
      <c r="H57" s="18"/>
    </row>
    <row r="58" spans="1:8" ht="15" customHeight="1" x14ac:dyDescent="0.25">
      <c r="A58" s="15"/>
      <c r="B58" s="23"/>
      <c r="C58" s="24"/>
      <c r="D58" s="24"/>
      <c r="E58" s="24"/>
      <c r="F58" s="24"/>
      <c r="G58" s="25"/>
      <c r="H58" s="25"/>
    </row>
    <row r="59" spans="1:8" ht="15" customHeight="1" x14ac:dyDescent="0.25">
      <c r="A59" s="15"/>
      <c r="B59" s="27"/>
      <c r="C59" s="24"/>
      <c r="D59" s="24"/>
      <c r="E59" s="24"/>
      <c r="F59" s="24"/>
      <c r="G59" s="15"/>
      <c r="H59" s="18"/>
    </row>
    <row r="60" spans="1:8" ht="15" customHeight="1" x14ac:dyDescent="0.25">
      <c r="A60" s="28"/>
      <c r="B60" s="18"/>
      <c r="C60" s="15"/>
      <c r="D60" s="16"/>
      <c r="E60" s="17"/>
      <c r="F60" s="15"/>
      <c r="G60" s="15"/>
      <c r="H60" s="8"/>
    </row>
    <row r="61" spans="1:8" ht="15" customHeight="1" x14ac:dyDescent="0.25">
      <c r="A61" s="28" t="s">
        <v>45</v>
      </c>
      <c r="B61" s="18" t="s">
        <v>36</v>
      </c>
      <c r="C61" s="15"/>
      <c r="D61" s="16"/>
      <c r="E61" s="17"/>
      <c r="F61" s="15"/>
      <c r="G61" s="15">
        <v>0</v>
      </c>
      <c r="H61" s="18" t="s">
        <v>21</v>
      </c>
    </row>
    <row r="62" spans="1:8" ht="15" customHeight="1" x14ac:dyDescent="0.25">
      <c r="A62" s="15"/>
      <c r="B62" s="32" t="s">
        <v>48</v>
      </c>
      <c r="C62" s="24"/>
      <c r="D62" s="24"/>
      <c r="E62" s="24"/>
      <c r="F62" s="24"/>
      <c r="G62" s="31">
        <v>0</v>
      </c>
      <c r="H62" s="18" t="s">
        <v>21</v>
      </c>
    </row>
    <row r="63" spans="1:8" ht="15" customHeight="1" x14ac:dyDescent="0.25">
      <c r="A63" s="33"/>
      <c r="B63" s="33"/>
      <c r="C63" s="33"/>
      <c r="D63" s="33"/>
      <c r="E63" s="33"/>
      <c r="F63" s="33"/>
      <c r="G63" s="34"/>
      <c r="H63" s="34"/>
    </row>
    <row r="64" spans="1:8" ht="15" customHeight="1" x14ac:dyDescent="0.25">
      <c r="A64" s="11"/>
      <c r="B64" s="12"/>
      <c r="C64" s="12"/>
      <c r="D64" s="12"/>
      <c r="E64" s="12"/>
      <c r="F64" s="12"/>
      <c r="G64" s="12"/>
      <c r="H64" s="12"/>
    </row>
    <row r="65" spans="1:8" ht="15" customHeight="1" x14ac:dyDescent="0.25">
      <c r="A65" s="35"/>
      <c r="B65" s="12"/>
      <c r="C65" s="12"/>
      <c r="D65" s="12"/>
      <c r="E65" s="12"/>
      <c r="F65" s="12"/>
      <c r="G65" s="12"/>
      <c r="H65" s="12"/>
    </row>
    <row r="66" spans="1:8" ht="15" customHeight="1" x14ac:dyDescent="0.25">
      <c r="A66" s="11"/>
      <c r="B66" s="12"/>
      <c r="C66" s="12"/>
      <c r="D66" s="12"/>
      <c r="E66" s="12"/>
      <c r="F66" s="12"/>
      <c r="G66" s="12"/>
      <c r="H66" s="12"/>
    </row>
    <row r="67" spans="1:8" ht="15" customHeight="1" x14ac:dyDescent="0.25">
      <c r="A67" s="22" t="s">
        <v>13</v>
      </c>
      <c r="B67" s="14" t="s">
        <v>5</v>
      </c>
      <c r="C67" s="14" t="s">
        <v>6</v>
      </c>
      <c r="D67" s="13" t="s">
        <v>7</v>
      </c>
      <c r="E67" s="36" t="s">
        <v>14</v>
      </c>
      <c r="F67" s="13" t="s">
        <v>9</v>
      </c>
      <c r="G67" s="13" t="s">
        <v>10</v>
      </c>
      <c r="H67" s="13" t="s">
        <v>11</v>
      </c>
    </row>
    <row r="68" spans="1:8" ht="15" customHeight="1" x14ac:dyDescent="0.25">
      <c r="A68" s="37" t="s">
        <v>13</v>
      </c>
      <c r="B68" s="29" t="s">
        <v>5</v>
      </c>
      <c r="C68" s="16" t="s">
        <v>6</v>
      </c>
      <c r="D68" s="16" t="s">
        <v>7</v>
      </c>
      <c r="E68" s="16" t="s">
        <v>14</v>
      </c>
      <c r="F68" s="30" t="s">
        <v>9</v>
      </c>
      <c r="G68" s="30" t="s">
        <v>10</v>
      </c>
      <c r="H68" s="29" t="s">
        <v>11</v>
      </c>
    </row>
    <row r="69" spans="1:8" ht="15" customHeight="1" x14ac:dyDescent="0.25">
      <c r="A69" s="20" t="s">
        <v>49</v>
      </c>
      <c r="B69" s="29" t="s">
        <v>50</v>
      </c>
      <c r="C69" s="29" t="s">
        <v>51</v>
      </c>
      <c r="D69" s="16" t="s">
        <v>52</v>
      </c>
      <c r="E69" s="16" t="s">
        <v>53</v>
      </c>
      <c r="F69" s="30">
        <v>1000</v>
      </c>
      <c r="G69" s="31">
        <v>1000</v>
      </c>
      <c r="H69" s="18" t="s">
        <v>21</v>
      </c>
    </row>
    <row r="70" spans="1:8" ht="15" customHeight="1" x14ac:dyDescent="0.25">
      <c r="A70" s="38"/>
      <c r="B70" s="29"/>
      <c r="C70" s="29"/>
      <c r="D70" s="16"/>
      <c r="E70" s="16"/>
      <c r="F70" s="30"/>
      <c r="G70" s="31">
        <f t="shared" ref="G70:G72" si="5">E70*F70</f>
        <v>0</v>
      </c>
      <c r="H70" s="18"/>
    </row>
    <row r="71" spans="1:8" ht="15" customHeight="1" x14ac:dyDescent="0.25">
      <c r="A71" s="12" t="s">
        <v>54</v>
      </c>
      <c r="B71" s="29" t="s">
        <v>40</v>
      </c>
      <c r="C71" s="29" t="s">
        <v>41</v>
      </c>
      <c r="D71" s="16" t="s">
        <v>42</v>
      </c>
      <c r="E71" s="16">
        <v>1</v>
      </c>
      <c r="F71" s="30">
        <v>1000</v>
      </c>
      <c r="G71" s="31">
        <f t="shared" si="5"/>
        <v>1000</v>
      </c>
      <c r="H71" s="18" t="s">
        <v>21</v>
      </c>
    </row>
    <row r="72" spans="1:8" ht="15" customHeight="1" x14ac:dyDescent="0.25">
      <c r="A72" s="12"/>
      <c r="B72" s="18"/>
      <c r="C72" s="15"/>
      <c r="D72" s="16"/>
      <c r="E72" s="17"/>
      <c r="F72" s="15"/>
      <c r="G72" s="15">
        <f t="shared" si="5"/>
        <v>0</v>
      </c>
      <c r="H72" s="18"/>
    </row>
    <row r="73" spans="1:8" ht="15" customHeight="1" x14ac:dyDescent="0.25">
      <c r="A73" s="20"/>
      <c r="B73" s="32"/>
      <c r="C73" s="24"/>
      <c r="D73" s="24"/>
      <c r="E73" s="24"/>
      <c r="F73" s="24"/>
      <c r="G73" s="30"/>
      <c r="H73" s="29"/>
    </row>
    <row r="74" spans="1:8" ht="15" customHeight="1" x14ac:dyDescent="0.25">
      <c r="A74" s="20"/>
      <c r="B74" s="21" t="s">
        <v>55</v>
      </c>
      <c r="C74" s="21"/>
      <c r="D74" s="20"/>
      <c r="E74" s="20"/>
      <c r="F74" s="20"/>
      <c r="G74" s="20">
        <f>G37+3.2</f>
        <v>342.17500000000001</v>
      </c>
      <c r="H74" s="20" t="s">
        <v>21</v>
      </c>
    </row>
    <row r="75" spans="1:8" ht="15" customHeight="1" x14ac:dyDescent="0.25">
      <c r="A75" s="22"/>
      <c r="B75" s="14" t="s">
        <v>56</v>
      </c>
      <c r="C75" s="14"/>
      <c r="D75" s="13"/>
      <c r="E75" s="36"/>
      <c r="F75" s="13"/>
      <c r="G75" s="13">
        <f>G69-G74</f>
        <v>657.82500000000005</v>
      </c>
      <c r="H75" s="13" t="s">
        <v>21</v>
      </c>
    </row>
    <row r="76" spans="1:8" ht="15" customHeight="1" x14ac:dyDescent="0.25">
      <c r="A76" s="37"/>
      <c r="B76" s="29"/>
      <c r="C76" s="16"/>
      <c r="D76" s="16"/>
      <c r="E76" s="16"/>
      <c r="F76" s="30"/>
      <c r="G76" s="30"/>
      <c r="H76" s="29"/>
    </row>
    <row r="77" spans="1:8" ht="15" customHeight="1" x14ac:dyDescent="0.25">
      <c r="A77" s="20" t="s">
        <v>57</v>
      </c>
      <c r="B77" s="29" t="s">
        <v>58</v>
      </c>
      <c r="C77" s="29"/>
      <c r="D77" s="16"/>
      <c r="E77" s="16"/>
      <c r="F77" s="30"/>
      <c r="G77" s="31"/>
      <c r="H77" s="18"/>
    </row>
    <row r="78" spans="1:8" ht="15" customHeight="1" x14ac:dyDescent="0.25">
      <c r="A78" s="38"/>
      <c r="B78" s="29"/>
      <c r="C78" s="29"/>
      <c r="D78" s="16"/>
      <c r="E78" s="16"/>
      <c r="F78" s="30"/>
      <c r="G78" s="31"/>
      <c r="H78" s="18"/>
    </row>
    <row r="79" spans="1:8" ht="15" customHeight="1" x14ac:dyDescent="0.25">
      <c r="A79" s="12"/>
      <c r="B79" s="29"/>
      <c r="C79" s="29"/>
      <c r="D79" s="16"/>
      <c r="E79" s="16"/>
      <c r="F79" s="30"/>
      <c r="G79" s="31"/>
      <c r="H79" s="18"/>
    </row>
    <row r="80" spans="1:8" ht="15" customHeight="1" x14ac:dyDescent="0.25">
      <c r="A80" s="12"/>
      <c r="B80" s="18"/>
      <c r="C80" s="15"/>
      <c r="D80" s="16"/>
      <c r="E80" s="17"/>
      <c r="F80" s="15"/>
      <c r="G80" s="15"/>
      <c r="H80" s="18"/>
    </row>
    <row r="81" spans="1:8" ht="15" customHeight="1" x14ac:dyDescent="0.25">
      <c r="A81" s="20"/>
      <c r="B81" s="32"/>
      <c r="C81" s="24"/>
      <c r="D81" s="24"/>
      <c r="E81" s="24"/>
      <c r="F81" s="24"/>
      <c r="G81" s="30"/>
      <c r="H81" s="29"/>
    </row>
    <row r="82" spans="1:8" ht="15" customHeight="1" x14ac:dyDescent="0.25">
      <c r="A82" s="26"/>
      <c r="B82" s="18"/>
      <c r="C82" s="15"/>
      <c r="D82" s="39"/>
      <c r="E82" s="16"/>
      <c r="F82" s="18"/>
      <c r="G82" s="15"/>
      <c r="H82" s="17"/>
    </row>
    <row r="83" spans="1:8" ht="15" customHeight="1" x14ac:dyDescent="0.25">
      <c r="A83" s="11"/>
      <c r="B83" s="12"/>
      <c r="C83" s="12"/>
      <c r="D83" s="12"/>
      <c r="E83" s="12"/>
      <c r="F83" s="12"/>
      <c r="G83" s="40"/>
      <c r="H83" s="40"/>
    </row>
    <row r="84" spans="1:8" ht="15" customHeight="1" x14ac:dyDescent="0.25">
      <c r="A84" s="41" t="s">
        <v>59</v>
      </c>
      <c r="B84" s="41" t="s">
        <v>60</v>
      </c>
      <c r="C84" s="41"/>
      <c r="D84" s="13"/>
      <c r="E84" s="13"/>
      <c r="F84" s="13"/>
      <c r="G84" s="13"/>
      <c r="H84" s="41"/>
    </row>
    <row r="85" spans="1:8" ht="15" customHeight="1" x14ac:dyDescent="0.25">
      <c r="A85" s="15"/>
      <c r="B85" s="15"/>
      <c r="C85" s="15"/>
      <c r="D85" s="16"/>
      <c r="E85" s="17"/>
      <c r="F85" s="18"/>
      <c r="G85" s="15"/>
      <c r="H85" s="15"/>
    </row>
    <row r="86" spans="1:8" ht="15" customHeight="1" x14ac:dyDescent="0.25">
      <c r="A86" s="15"/>
      <c r="B86" s="15"/>
      <c r="C86" s="15"/>
      <c r="D86" s="17"/>
      <c r="E86" s="17"/>
      <c r="F86" s="42"/>
      <c r="G86" s="15"/>
      <c r="H86" s="18"/>
    </row>
    <row r="87" spans="1:8" ht="15" customHeight="1" x14ac:dyDescent="0.25">
      <c r="A87" s="43"/>
      <c r="B87" s="24"/>
      <c r="C87" s="24"/>
      <c r="D87" s="24"/>
      <c r="E87" s="24"/>
      <c r="F87" s="24"/>
      <c r="G87" s="44"/>
      <c r="H87" s="44"/>
    </row>
    <row r="88" spans="1:8" ht="15" customHeight="1" x14ac:dyDescent="0.25">
      <c r="A88" s="45" t="s">
        <v>61</v>
      </c>
      <c r="B88" s="46" t="s">
        <v>62</v>
      </c>
      <c r="C88" s="46"/>
      <c r="D88" s="46"/>
      <c r="E88" s="46"/>
      <c r="F88" s="46"/>
      <c r="G88" s="46"/>
      <c r="H88" s="46"/>
    </row>
    <row r="89" spans="1:8" ht="15" customHeight="1" x14ac:dyDescent="0.25">
      <c r="A89" s="7"/>
      <c r="B89" s="6"/>
      <c r="C89" s="6"/>
      <c r="D89" s="6"/>
      <c r="E89" s="6"/>
      <c r="F89" s="6"/>
      <c r="G89" s="6"/>
      <c r="H89" s="6"/>
    </row>
  </sheetData>
  <mergeCells count="30">
    <mergeCell ref="A65:H65"/>
    <mergeCell ref="A88:H88"/>
    <mergeCell ref="A89:H89"/>
    <mergeCell ref="A66:H66"/>
    <mergeCell ref="A70:A72"/>
    <mergeCell ref="B73:F73"/>
    <mergeCell ref="A78:A80"/>
    <mergeCell ref="B81:F81"/>
    <mergeCell ref="A83:F83"/>
    <mergeCell ref="A87:F87"/>
    <mergeCell ref="B57:F57"/>
    <mergeCell ref="B58:F58"/>
    <mergeCell ref="B59:F59"/>
    <mergeCell ref="B62:F62"/>
    <mergeCell ref="A64:H64"/>
    <mergeCell ref="B40:F40"/>
    <mergeCell ref="B46:F46"/>
    <mergeCell ref="B47:F47"/>
    <mergeCell ref="B48:F48"/>
    <mergeCell ref="B51:F51"/>
    <mergeCell ref="B25:F25"/>
    <mergeCell ref="B28:F28"/>
    <mergeCell ref="B35:F35"/>
    <mergeCell ref="B36:F36"/>
    <mergeCell ref="B37:F37"/>
    <mergeCell ref="A1:H1"/>
    <mergeCell ref="A7:H7"/>
    <mergeCell ref="A16:H16"/>
    <mergeCell ref="B23:F23"/>
    <mergeCell ref="B24:F24"/>
  </mergeCells>
  <conditionalFormatting sqref="G28 G40 G51 G62">
    <cfRule type="cellIs" dxfId="0" priority="1" operator="lessThan">
      <formula>0</formula>
    </cfRule>
  </conditionalFormatting>
  <pageMargins left="0.7" right="0.7" top="0.75" bottom="0.75" header="0.3" footer="0.3"/>
  <pageSetup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Power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Ramon Duarte (Student)</cp:lastModifiedBy>
  <cp:lastPrinted>2026-10-24T02:05:03Z</cp:lastPrinted>
  <dcterms:modified xsi:type="dcterms:W3CDTF">2026-10-24T02:05:07Z</dcterms:modified>
</cp:coreProperties>
</file>
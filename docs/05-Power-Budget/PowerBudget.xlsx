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b29059ee8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udget" sheetId="1" r:id="R94e5374c0bff4096"/>
  </x:sheets>
</x:workbook>
</file>

<file path=xl/comments1.xml><?xml version="1.0" encoding="utf-8"?>
<x:comments xmlns:x="http://schemas.openxmlformats.org/spreadsheetml/2006/main">
  <x:authors>
    <x:author/>
  </x:authors>
  <x:commentList>
    <x:comment ref="F8" authorId="0">
      <x:text>
        <x:r>
          <x:t>For inductive loads (e.g., motors, solenoids) this is often called "stall current" on the data sheet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<x:sst xmlns:x="http://schemas.openxmlformats.org/spreadsheetml/2006/main">
  <x:si>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Pressure  pad power budget</x:t>
  </x:si>
  <x:si>
    <x:t xml:space="preserve">Team Number:</x:t>
  </x:si>
  <x:si>
    <x:t xml:space="preserve">Project Name:</x:t>
  </x:si>
  <x:si>
    <x:t xml:space="preserve">Pressure Pad Subsystem</x:t>
  </x:si>
  <x:si>
    <x:t xml:space="preserve">Team Member Names:</x:t>
  </x:si>
  <x:si>
    <x:t xml:space="preserve">Ramon Duarte</x:t>
  </x:si>
  <x:si>
    <x:t xml:space="preserve">Version:</x:t>
  </x:si>
  <x:si>
    <x:t xml:space="preserve">All Major Components</x:t>
  </x:si>
  <x:si>
    <x:t xml:space="preserve">Component Name</x:t>
  </x:si>
  <x:si>
    <x:t xml:space="preserve">Part Number</x:t>
  </x:si>
  <x:si>
    <x:t xml:space="preserve">Supply
Voltage
Range</x:t>
  </x:si>
  <x:si>
    <x:t xml:space="preserve">#</x:t>
  </x:si>
  <x:si>
    <x:t xml:space="preserve">Absolute
Maximum
Current (mA)</x:t>
  </x:si>
  <x:si>
    <x:t xml:space="preserve">Total
Current
(mA)</x:t>
  </x:si>
  <x:si>
    <x:t xml:space="preserve">Unit</x:t>
  </x:si>
  <x:si>
    <x:t xml:space="preserve">Subtotal</x:t>
  </x:si>
  <x:si>
    <x:t xml:space="preserve">mA</x:t>
  </x:si>
  <x:si>
    <x:t xml:space="preserve">Safety Margin</x:t>
  </x:si>
  <x:si>
    <x:t xml:space="preserve"> +5V Power Rail</x:t>
  </x:si>
  <x:si>
    <x:t xml:space="preserve">Total Current Required on +5V Rail</x:t>
  </x:si>
  <x:si>
    <x:t xml:space="preserve">c2. Regulator or Source Choice</x:t>
  </x:si>
  <x:si>
    <x:t xml:space="preserve">+5V Regulator</x:t>
  </x:si>
  <x:si>
    <x:t xml:space="preserve">MC7805CTG</x:t>
  </x:si>
  <x:si>
    <x:t xml:space="preserve">7 - 35 V input</x:t>
  </x:si>
  <x:si>
    <x:t xml:space="preserve">Total Remaining Current Available on +5V Rail</x:t>
  </x:si>
  <x:si>
    <x:t xml:space="preserve">N/A - no -5V rail</x:t>
  </x:si>
  <x:si>
    <x:t xml:space="preserve">c - Regulator or Source Choice</x:t>
  </x:si>
  <x:si>
    <x:t xml:space="preserve">N/A</x:t>
  </x:si>
  <x:si>
    <x:t xml:space="preserve">Total Remaining Current Available on -5V Rail</x:t>
  </x:si>
  <x:si>
    <x:t xml:space="preserve">N/A - no +3.3V rail</x:t>
  </x:si>
  <x:si>
    <x:t xml:space="preserve">Total Remaining Current Available on +3.3V Rail</x:t>
  </x:si>
  <x:si>
    <x:t xml:space="preserve">External Power Source 2</x:t>
  </x:si>
  <x:si>
    <x:t xml:space="preserve">N/A - only one source required</x:t>
  </x:si>
  <x:si>
    <x:t xml:space="preserve">E. Calculate Battery Life (if applicable).</x:t>
  </x:si>
  <x:si>
    <x:t xml:space="preserve">N/A - subsystem uses external DC wall supply</x:t>
  </x:si>
</x:sst>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10">
    <x:font>
      <x:sz val="12"/>
      <x:color rgb="FF000000"/>
      <x:name val="Calibri"/>
    </x:font>
    <x:font>
      <x:b/>
      <x:sz val="24"/>
      <x:color rgb="FF000000"/>
      <x:name val="Calibri"/>
    </x:font>
    <x:font>
      <x:b/>
      <x:sz val="12"/>
      <x:color rgb="FF000000"/>
      <x:name val="Calibri"/>
    </x:font>
    <x:font>
      <x:sz val="12"/>
      <x:name val="Calibri"/>
    </x:font>
    <x:font>
      <x:b/>
      <x:sz val="12"/>
      <x:color rgb="FF000000"/>
      <x:name val="Arial"/>
    </x:font>
    <x:font>
      <x:b/>
      <x:i/>
      <x:sz val="12"/>
      <x:color rgb="FF000000"/>
      <x:name val="Arial"/>
    </x:font>
    <x:font>
      <x:sz val="12"/>
      <x:color rgb="FF000000"/>
      <x:name val="Arial"/>
    </x:font>
    <x:font>
      <x:b/>
      <x:i/>
      <x:sz val="12"/>
      <x:color rgb="FF000000"/>
      <x:name val="Calibri"/>
    </x:font>
    <x:font>
      <x:sz val="12"/>
      <x:name val="Arial"/>
    </x:font>
    <x:font>
      <x:sz val="12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EEECE1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2" fillId="0" borderId="0" xfId="0" applyFont="1" applyAlignment="1">
      <x:alignment horizontal="center"/>
    </x:xf>
    <x:xf numFmtId="0" fontId="2" fillId="0" borderId="0" xfId="0" applyFont="1"/>
    <x:xf numFmtId="0" fontId="4" fillId="0" borderId="0" xfId="0" applyFont="1"/>
    <x:xf numFmtId="0" fontId="1" fillId="0" borderId="0" xfId="0" applyFont="1" applyAlignment="1">
      <x:alignment horizontal="center"/>
    </x:xf>
    <x:xf numFmtId="0" fontId="0" fillId="0" borderId="0" xfId="0"/>
    <x:xf numFmtId="0" fontId="0" fillId="0" borderId="0" xfId="0" applyAlignment="1">
      <x:alignment wrapText="1"/>
    </x:xf>
    <x:xf numFmtId="0" fontId="9" fillId="4" borderId="0" xfId="0" applyFont="1" applyFill="1" applyAlignment="1">
      <x:alignment horizontal="left" wrapText="1"/>
    </x:xf>
    <x:xf numFmtId="0" fontId="2" fillId="0" borderId="1" xfId="0" applyFont="1" applyBorder="1"/>
    <x:xf numFmtId="0" fontId="3" fillId="0" borderId="1" xfId="0" applyFont="1" applyBorder="1"/>
    <x:xf numFmtId="0" fontId="4" fillId="0" borderId="1" xfId="0" applyFont="1" applyBorder="1"/>
    <x:xf numFmtId="0" fontId="5" fillId="2" borderId="1" xfId="0" applyFont="1" applyFill="1" applyBorder="1" applyAlignment="1">
      <x:alignment wrapText="1"/>
    </x:xf>
    <x:xf numFmtId="0" fontId="3" fillId="0" borderId="1" xfId="0" applyFont="1" applyBorder="1"/>
    <x:xf numFmtId="0" fontId="4" fillId="3" borderId="1" xfId="0" applyFont="1" applyFill="1" applyBorder="1" applyAlignment="1">
      <x:alignment horizontal="center"/>
    </x:xf>
    <x:xf numFmtId="0" fontId="2" fillId="3" borderId="1" xfId="0" applyFont="1" applyFill="1" applyBorder="1" applyAlignment="1">
      <x:alignment horizontal="center"/>
    </x:xf>
    <x:xf numFmtId="0" fontId="0" fillId="0" borderId="1" xfId="0" applyBorder="1"/>
    <x:xf numFmtId="0" fontId="6" fillId="0" borderId="1" xfId="0" applyFont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6" fillId="0" borderId="1" xfId="0" applyFont="1" applyBorder="1"/>
    <x:xf numFmtId="49" fontId="6" fillId="0" borderId="1" xfId="0" applyNumberFormat="1" applyFont="1" applyBorder="1" applyAlignment="1">
      <x:alignment horizontal="center"/>
    </x:xf>
    <x:xf numFmtId="0" fontId="4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5" fillId="3" borderId="1" xfId="0" applyFont="1" applyFill="1" applyBorder="1"/>
    <x:xf numFmtId="0" fontId="7" fillId="0" borderId="1" xfId="0" applyFont="1" applyBorder="1" applyAlignment="1">
      <x:alignment horizontal="right"/>
    </x:xf>
    <x:xf numFmtId="0" fontId="0" fillId="0" borderId="1" xfId="0" applyBorder="1"/>
    <x:xf numFmtId="9" fontId="0" fillId="0" borderId="1" xfId="0" applyNumberFormat="1" applyBorder="1"/>
    <x:xf numFmtId="0" fontId="7" fillId="0" borderId="1" xfId="0" applyFont="1" applyBorder="1"/>
    <x:xf numFmtId="0" fontId="5" fillId="0" borderId="1" xfId="0" applyFont="1" applyBorder="1" applyAlignment="1">
      <x:alignment horizontal="right"/>
    </x:xf>
    <x:xf numFmtId="0" fontId="5" fillId="0" borderId="1" xfId="0" applyFont="1" applyBorder="1" applyAlignment="1">
      <x:alignment horizontal="left"/>
    </x:xf>
    <x:xf numFmtId="0" fontId="6" fillId="0" borderId="1" xfId="0" applyFont="1" applyBorder="1" applyAlignment="1">
      <x:alignment horizontal="left"/>
    </x:xf>
    <x:xf numFmtId="0" fontId="6" fillId="0" borderId="1" xfId="0" applyFont="1" applyBorder="1" applyAlignment="1">
      <x:alignment horizontal="right"/>
    </x:xf>
    <x:xf numFmtId="0" fontId="0" fillId="0" borderId="1" xfId="0" applyBorder="1" applyAlignment="1">
      <x:alignment horizontal="right"/>
    </x:xf>
    <x:xf numFmtId="49" fontId="5" fillId="0" borderId="1" xfId="0" applyNumberFormat="1" applyFont="1" applyBorder="1" applyAlignment="1">
      <x:alignment horizontal="right"/>
    </x:xf>
    <x:xf numFmtId="0" fontId="5" fillId="0" borderId="1" xfId="0" applyFont="1" applyBorder="1" applyAlignment="1">
      <x:alignment wrapText="1"/>
    </x:xf>
    <x:xf numFmtId="0" fontId="5" fillId="0" borderId="1" xfId="0" applyFont="1" applyBorder="1"/>
    <x:xf numFmtId="0" fontId="5" fillId="0" borderId="1" xfId="0" applyFont="1" applyBorder="1" applyAlignment="1">
      <x:alignment wrapText="1"/>
    </x:xf>
    <x:xf numFmtId="0" fontId="4" fillId="3" borderId="1" xfId="0" applyFont="1" applyFill="1" applyBorder="1" applyAlignment="1">
      <x:alignment horizontal="center" wrapText="1"/>
    </x:xf>
    <x:xf numFmtId="0" fontId="4" fillId="0" borderId="1" xfId="0" applyFont="1" applyBorder="1" applyAlignment="1">
      <x:alignment horizontal="left"/>
    </x:xf>
    <x:xf numFmtId="0" fontId="4" fillId="0" borderId="1" xfId="0" applyFont="1" applyBorder="1" applyAlignment="1">
      <x:alignment horizontal="left" vertical="center" wrapText="1"/>
    </x:xf>
    <x:xf numFmtId="0" fontId="8" fillId="0" borderId="1" xfId="0" applyFont="1" applyBorder="1"/>
    <x:xf numFmtId="0" fontId="7" fillId="2" borderId="1" xfId="0" applyFont="1" applyFill="1" applyBorder="1"/>
    <x:xf numFmtId="0" fontId="2" fillId="3" borderId="1" xfId="0" applyFont="1" applyFill="1" applyBorder="1"/>
    <x:xf numFmtId="0" fontId="7" fillId="0" borderId="1" xfId="0" applyFont="1" applyBorder="1" applyAlignment="1">
      <x:alignment horizontal="right"/>
    </x:xf>
    <x:xf numFmtId="0" fontId="5" fillId="2" borderId="1" xfId="0" applyFont="1" applyFill="1" applyBorder="1"/>
    <x:xf numFmtId="0" fontId="0" fillId="2" borderId="1" xfId="0" applyFill="1" applyBorder="1"/>
    <x:xf numFmtId="0" fontId="6" fillId="0" borderId="1" xfId="0" applyFont="1" applyBorder="1" applyAlignment="1">
      <x:alignment wrapText="1"/>
    </x:xf>
    <x:xf numFmtId="0" fontId="0" fillId="0" borderId="1" xfId="0" applyBorder="1" applyAlignment="1">
      <x:alignment wrapText="1"/>
    </x:xf>
    <x:xf numFmtId="0" fontId="0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/>
    <x:xf numFmtId="0" fontId="4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left" wrapText="1"/>
    </x:xf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6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/>
    <x:xf numFmtId="49" fontId="6" fillId="0" borderId="3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/>
    <x:xf numFmtId="0" fontId="7" fillId="0" borderId="3" xfId="0" applyNumberFormat="1" applyFont="1" applyFill="1" applyBorder="1" applyAlignment="1">
      <x:alignment horizontal="right"/>
    </x:xf>
    <x:xf numFmtId="9" fontId="0" fillId="0" borderId="3" xfId="0" applyNumberFormat="1" applyFont="1" applyFill="1" applyBorder="1"/>
    <x:xf numFmtId="0" fontId="7" fillId="0" borderId="3" xfId="0" applyNumberFormat="1" applyFont="1" applyFill="1" applyBorder="1"/>
    <x:xf numFmtId="0" fontId="5" fillId="0" borderId="3" xfId="0" applyNumberFormat="1" applyFont="1" applyFill="1" applyBorder="1" applyAlignment="1">
      <x:alignment horizontal="right"/>
    </x:xf>
    <x:xf numFmtId="0" fontId="5" fillId="0" borderId="3" xfId="0" applyNumberFormat="1" applyFont="1" applyFill="1" applyBorder="1" applyAlignment="1">
      <x:alignment horizontal="left"/>
    </x:xf>
    <x:xf numFmtId="0" fontId="6" fillId="0" borderId="3" xfId="0" applyNumberFormat="1" applyFont="1" applyFill="1" applyBorder="1" applyAlignment="1">
      <x:alignment horizontal="left"/>
    </x:xf>
    <x:xf numFmtId="0" fontId="6" fillId="0" borderId="3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right"/>
    </x:xf>
    <x:xf numFmtId="49" fontId="5" fillId="0" borderId="3" xfId="0" applyNumberFormat="1" applyFont="1" applyFill="1" applyBorder="1" applyAlignment="1">
      <x:alignment horizontal="right"/>
    </x:xf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/>
    <x:xf numFmtId="0" fontId="4" fillId="3" borderId="3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 applyAlignment="1">
      <x:alignment horizontal="left"/>
    </x:xf>
    <x:xf numFmtId="0" fontId="4" fillId="0" borderId="3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/>
    <x:xf numFmtId="0" fontId="7" fillId="2" borderId="3" xfId="0" applyNumberFormat="1" applyFont="1" applyFill="1" applyBorder="1"/>
    <x:xf numFmtId="0" fontId="2" fillId="3" borderId="3" xfId="0" applyNumberFormat="1" applyFont="1" applyFill="1" applyBorder="1"/>
    <x:xf numFmtId="0" fontId="5" fillId="2" borderId="3" xfId="0" applyNumberFormat="1" applyFont="1" applyFill="1" applyBorder="1"/>
    <x:xf numFmtId="0" fontId="0" fillId="2" borderId="3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49" fontId="6" fillId="0" borderId="1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6" fillId="0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wrapText="1"/>
    </x:xf>
    <x:xf numFmtId="49" fontId="6" fillId="0" borderId="3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right" wrapText="1"/>
    </x:xf>
    <x:xf numFmtId="9" fontId="0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right" wrapText="1"/>
    </x:xf>
    <x:xf numFmtId="0" fontId="5" fillId="0" borderId="1" xfId="0" applyNumberFormat="1" applyFont="1" applyFill="1" applyBorder="1" applyAlignment="1">
      <x:alignment horizontal="left" wrapText="1"/>
    </x:xf>
    <x:xf numFmtId="0" fontId="6" fillId="0" borderId="1" xfId="0" applyNumberFormat="1" applyFont="1" applyFill="1" applyBorder="1" applyAlignment="1">
      <x:alignment horizontal="left" wrapText="1"/>
    </x:xf>
    <x:xf numFmtId="0" fontId="6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wrapText="1"/>
    </x:xf>
    <x:xf numFmtId="49" fontId="5" fillId="0" borderId="1" xfId="0" applyNumberFormat="1" applyFont="1" applyFill="1" applyBorder="1" applyAlignment="1">
      <x:alignment horizontal="right" wrapText="1"/>
    </x:xf>
    <x:xf numFmtId="0" fontId="3" fillId="0" borderId="1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horizontal="right" wrapText="1"/>
    </x:xf>
    <x:xf numFmtId="9" fontId="0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right" wrapText="1"/>
    </x:xf>
    <x:xf numFmtId="0" fontId="5" fillId="0" borderId="3" xfId="0" applyNumberFormat="1" applyFont="1" applyFill="1" applyBorder="1" applyAlignment="1">
      <x:alignment horizontal="left" wrapText="1"/>
    </x:xf>
    <x:xf numFmtId="0" fontId="6" fillId="0" borderId="3" xfId="0" applyNumberFormat="1" applyFont="1" applyFill="1" applyBorder="1" applyAlignment="1">
      <x:alignment horizontal="left" wrapText="1"/>
    </x:xf>
    <x:xf numFmtId="0" fontId="6" fillId="0" borderId="3" xfId="0" applyNumberFormat="1" applyFont="1" applyFill="1" applyBorder="1" applyAlignment="1">
      <x:alignment horizontal="right" wrapText="1"/>
    </x:xf>
    <x:xf numFmtId="0" fontId="0" fillId="0" borderId="3" xfId="0" applyNumberFormat="1" applyFont="1" applyFill="1" applyBorder="1" applyAlignment="1">
      <x:alignment horizontal="right" wrapText="1"/>
    </x:xf>
    <x:xf numFmtId="49" fontId="5" fillId="0" borderId="3" xfId="0" applyNumberFormat="1" applyFont="1" applyFill="1" applyBorder="1" applyAlignment="1">
      <x:alignment horizontal="right" wrapText="1"/>
    </x:xf>
    <x:xf numFmtId="0" fontId="3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 applyAlignment="1">
      <x:alignment horizontal="left" wrapText="1"/>
    </x:xf>
    <x:xf numFmtId="0" fontId="4" fillId="0" borderId="3" xfId="0" applyNumberFormat="1" applyFont="1" applyFill="1" applyBorder="1" applyAlignment="1">
      <x:alignment horizontal="center" wrapText="1"/>
    </x:xf>
    <x:xf numFmtId="0" fontId="2" fillId="0" borderId="3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/>
    <x:xf numFmtId="200" fontId="3" fillId="0" borderId="1" xfId="0" applyNumberFormat="1" applyFont="1" applyFill="1" applyBorder="1"/>
    <x:xf numFmtId="200" fontId="4" fillId="3" borderId="1" xfId="0" applyNumberFormat="1" applyFont="1" applyFill="1" applyBorder="1" applyAlignment="1">
      <x:alignment horizontal="center" wrapText="1"/>
    </x:xf>
    <x:xf numFmtId="200" fontId="6" fillId="0" borderId="1" xfId="0" applyNumberFormat="1" applyFont="1" applyFill="1" applyBorder="1" applyAlignment="1">
      <x:alignment horizontal="right" wrapText="1"/>
    </x:xf>
    <x:xf numFmtId="200" fontId="0" fillId="0" borderId="1" xfId="0" applyNumberFormat="1" applyFont="1" applyFill="1" applyBorder="1" applyAlignment="1">
      <x:alignment horizontal="right" wrapText="1"/>
    </x:xf>
    <x:xf numFmtId="200" fontId="3" fillId="0" borderId="1" xfId="0" applyNumberFormat="1" applyFont="1" applyFill="1" applyBorder="1" applyAlignment="1">
      <x:alignment wrapText="1"/>
    </x:xf>
    <x:xf numFmtId="200" fontId="4" fillId="3" borderId="1" xfId="0" applyNumberFormat="1" applyFont="1" applyFill="1" applyBorder="1" applyAlignment="1">
      <x:alignment horizontal="center"/>
    </x:xf>
    <x:xf numFmtId="200" fontId="6" fillId="0" borderId="1" xfId="0" applyNumberFormat="1" applyFont="1" applyFill="1" applyBorder="1"/>
    <x:xf numFmtId="200" fontId="0" fillId="0" borderId="1" xfId="0" applyNumberFormat="1" applyFont="1" applyFill="1" applyBorder="1"/>
    <x:xf numFmtId="200" fontId="6" fillId="0" borderId="1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 wrapText="1"/>
    </x:xf>
    <x:xf numFmtId="200" fontId="0" fillId="0" borderId="3" xfId="0" applyNumberFormat="1" applyFont="1" applyFill="1" applyBorder="1" applyAlignment="1">
      <x:alignment wrapText="1"/>
    </x:xf>
    <x:xf numFmtId="200" fontId="6" fillId="0" borderId="3" xfId="0" applyNumberFormat="1" applyFont="1" applyFill="1" applyBorder="1" applyAlignment="1">
      <x:alignment wrapText="1"/>
    </x:xf>
    <x:xf numFmtId="200" fontId="2" fillId="0" borderId="3" xfId="0" applyNumberFormat="1" applyFont="1" applyFill="1" applyBorder="1"/>
    <x:xf numFmtId="200" fontId="3" fillId="0" borderId="3" xfId="0" applyNumberFormat="1" applyFont="1" applyFill="1" applyBorder="1"/>
    <x:xf numFmtId="200" fontId="4" fillId="3" borderId="3" xfId="0" applyNumberFormat="1" applyFont="1" applyFill="1" applyBorder="1" applyAlignment="1">
      <x:alignment horizontal="center" wrapText="1"/>
    </x:xf>
    <x:xf numFmtId="200" fontId="6" fillId="0" borderId="3" xfId="0" applyNumberFormat="1" applyFont="1" applyFill="1" applyBorder="1" applyAlignment="1">
      <x:alignment horizontal="right" wrapText="1"/>
    </x:xf>
    <x:xf numFmtId="200" fontId="0" fillId="0" borderId="3" xfId="0" applyNumberFormat="1" applyFont="1" applyFill="1" applyBorder="1" applyAlignment="1">
      <x:alignment horizontal="right" wrapText="1"/>
    </x:xf>
    <x:xf numFmtId="200" fontId="3" fillId="0" borderId="3" xfId="0" applyNumberFormat="1" applyFont="1" applyFill="1" applyBorder="1" applyAlignment="1">
      <x:alignment wrapText="1"/>
    </x:xf>
    <x:xf numFmtId="200" fontId="4" fillId="3" borderId="3" xfId="0" applyNumberFormat="1" applyFont="1" applyFill="1" applyBorder="1" applyAlignment="1">
      <x:alignment horizontal="center"/>
    </x:xf>
    <x:xf numFmtId="200" fontId="6" fillId="0" borderId="3" xfId="0" applyNumberFormat="1" applyFont="1" applyFill="1" applyBorder="1"/>
    <x:xf numFmtId="200" fontId="0" fillId="0" borderId="3" xfId="0" applyNumberFormat="1" applyFont="1" applyFill="1" applyBorder="1"/>
    <x:xf numFmtId="200" fontId="6" fillId="0" borderId="3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200" fontId="5" fillId="0" borderId="3" xfId="0" applyNumberFormat="1" applyFont="1" applyFill="1" applyBorder="1" applyAlignment="1">
      <x:alignment wrapText="1"/>
    </x:xf>
    <x:xf numFmtId="200" fontId="5" fillId="0" borderId="3" xfId="0" applyNumberFormat="1" applyFont="1" applyFill="1" applyBorder="1"/>
    <x:xf numFmtId="200" fontId="4" fillId="0" borderId="3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00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1db220bd5414c" /><Relationship Type="http://schemas.openxmlformats.org/officeDocument/2006/relationships/theme" Target="/xl/theme/theme1.xml" Id="R05ba0f0f753545ab" /><Relationship Type="http://schemas.openxmlformats.org/officeDocument/2006/relationships/sharedStrings" Target="/xl/sharedStrings.xml" Id="R9ae12e5c75174057" /><Relationship Type="http://schemas.openxmlformats.org/officeDocument/2006/relationships/worksheet" Target="/xl/worksheets/sheet1.xml" Id="R94e5374c0bff4096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8</xdr:col>
      <xdr:colOff>752475</xdr:colOff>
      <xdr:row>49</xdr:row>
      <xdr:rowOff>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686c22b021a45a0" /><Relationship Type="http://schemas.openxmlformats.org/officeDocument/2006/relationships/vmlDrawing" Target="/xl/drawings/vmldrawing.vml" Id="Rfb8f975f95724f5f" /><Relationship Type="http://schemas.openxmlformats.org/officeDocument/2006/relationships/drawing" Target="/xl/drawings/drawing1.xml" Id="R8b609d16c59c49dd" /></Relationships>
</file>

<file path=xl/worksheets/sheet1.xml><?xml version="1.0" encoding="utf-8"?>
<x:worksheet xmlns:x="http://schemas.openxmlformats.org/spreadsheetml/2006/main">
  <x:sheetFormatPr defaultColWidth="13.5" defaultRowHeight="15.75"/>
  <x:cols>
    <x:col min="1" max="1" width="28" hidden="0" customWidth="1"/>
    <x:col min="2" max="2" width="31" hidden="0" customWidth="1"/>
    <x:col min="3" max="3" width="2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" t="s">
        <x:v>0</x:v>
      </x:c>
      <x:c r="B1" s="5"/>
      <x:c r="C1" s="5"/>
      <x:c r="D1" s="5"/>
      <x:c r="E1" s="5"/>
      <x:c r="F1" s="5"/>
      <x:c r="G1" s="5"/>
      <x:c r="H1" s="5"/>
    </x:row>
    <x:row r="2" ht="15" customHeight="1">
      <x:c r="A2" s="8" t="s">
        <x:v>1</x:v>
      </x:c>
      <x:c r="B2" s="9">
        <x:v>203</x:v>
      </x:c>
      <x:c r="D2" s="1"/>
      <x:c r="E2" s="1"/>
    </x:row>
    <x:row r="3" ht="15" customHeight="1">
      <x:c r="A3" s="10" t="s">
        <x:v>2</x:v>
      </x:c>
      <x:c r="B3" s="8" t="s">
        <x:v>3</x:v>
      </x:c>
      <x:c r="C3" s="2"/>
      <x:c r="D3" s="1"/>
      <x:c r="E3" s="1"/>
      <x:c r="F3" s="2"/>
      <x:c r="G3" s="2"/>
      <x:c r="H3" s="2"/>
    </x:row>
    <x:row r="4" ht="15" customHeight="1">
      <x:c r="A4" s="10" t="s">
        <x:v>4</x:v>
      </x:c>
      <x:c r="B4" s="8" t="s">
        <x:v>5</x:v>
      </x:c>
      <x:c r="C4" s="2"/>
      <x:c r="D4" s="1"/>
      <x:c r="E4" s="1"/>
      <x:c r="F4" s="2"/>
      <x:c r="G4" s="2"/>
      <x:c r="H4" s="2"/>
    </x:row>
    <x:row r="5" ht="15" customHeight="1">
      <x:c r="A5" s="10" t="s">
        <x:v>6</x:v>
      </x:c>
      <x:c r="B5" s="8" t="str">
        <x:v>2.0 - 9V Motor Update</x:v>
      </x:c>
      <x:c r="C5" s="2"/>
      <x:c r="D5" s="1"/>
      <x:c r="E5" s="1"/>
      <x:c r="F5" s="2"/>
      <x:c r="G5" s="2"/>
      <x:c r="H5" s="2"/>
    </x:row>
    <x:row r="6" ht="15" customHeight="1">
      <x:c r="A6" s="3"/>
      <x:c r="B6" s="2"/>
      <x:c r="C6" s="2"/>
      <x:c r="D6" s="1"/>
      <x:c r="E6" s="1"/>
      <x:c r="F6" s="2"/>
      <x:c r="G6" s="2"/>
      <x:c r="H6" s="2"/>
    </x:row>
    <x:row r="7" ht="15" customHeight="1">
      <x:c r="A7" s="11"/>
      <x:c r="B7" s="12"/>
      <x:c r="C7" s="12"/>
      <x:c r="D7" s="12"/>
      <x:c r="E7" s="12"/>
      <x:c r="F7" s="12"/>
      <x:c r="G7" s="12"/>
      <x:c r="H7" s="12"/>
    </x:row>
    <x:row r="8" ht="15" customHeight="1">
      <x:c r="A8" s="89" t="s">
        <x:v>7</x:v>
      </x:c>
      <x:c r="B8" s="90" t="s">
        <x:v>8</x:v>
      </x:c>
      <x:c r="C8" s="90" t="s">
        <x:v>9</x:v>
      </x:c>
      <x:c r="D8" s="89" t="s">
        <x:v>10</x:v>
      </x:c>
      <x:c r="E8" s="89" t="s">
        <x:v>11</x:v>
      </x:c>
      <x:c r="F8" s="89" t="s">
        <x:v>12</x:v>
      </x:c>
      <x:c r="G8" s="89" t="s">
        <x:v>13</x:v>
      </x:c>
      <x:c r="H8" s="89" t="s">
        <x:v>14</x:v>
      </x:c>
    </x:row>
    <x:row r="9" ht="15" customHeight="1">
      <x:c r="A9" s="91"/>
      <x:c r="B9" s="91" t="str">
        <x:v>Microcontroller</x:v>
      </x:c>
      <x:c r="C9" s="91" t="str">
        <x:v>PIC18F57Q43</x:v>
      </x:c>
      <x:c r="D9" s="92" t="str">
        <x:v>1.8 - 5.5 V</x:v>
      </x:c>
      <x:c r="E9" s="93" t="n">
        <x:v>1</x:v>
      </x:c>
      <x:c r="F9" s="131" t="n">
        <x:v>250</x:v>
      </x:c>
      <x:c r="G9" s="131" t="n">
        <x:f t="shared" ref="G9:G13" si="0">E9*F9</x:f>
        <x:v>250</x:v>
      </x:c>
      <x:c r="H9" s="94" t="str">
        <x:v>mA</x:v>
      </x:c>
    </x:row>
    <x:row r="10" ht="15" customHeight="1">
      <x:c r="A10" s="91"/>
      <x:c r="B10" s="91" t="str">
        <x:v>Quad op-amp</x:v>
      </x:c>
      <x:c r="C10" s="91" t="str">
        <x:v>MCP6004</x:v>
      </x:c>
      <x:c r="D10" s="92" t="str">
        <x:v>1.8 - 6.0 V</x:v>
      </x:c>
      <x:c r="E10" s="93" t="n">
        <x:v>1</x:v>
      </x:c>
      <x:c r="F10" s="131" t="n">
        <x:v>0.68</x:v>
      </x:c>
      <x:c r="G10" s="131" t="n">
        <x:f t="shared" si="0">E10*F10</x:f>
        <x:v>0.68</x:v>
      </x:c>
      <x:c r="H10" s="94" t="str">
        <x:v>mA</x:v>
      </x:c>
    </x:row>
    <x:row r="11" ht="15" customHeight="1">
      <x:c r="A11" s="91"/>
      <x:c r="B11" s="91" t="str">
        <x:v>Indicator LED</x:v>
      </x:c>
      <x:c r="C11" s="91" t="str">
        <x:v>D1 (generic LED)</x:v>
      </x:c>
      <x:c r="D11" s="93" t="str">
        <x:v>5 V rail (330 ohm series R)</x:v>
      </x:c>
      <x:c r="E11" s="93" t="n">
        <x:v>1</x:v>
      </x:c>
      <x:c r="F11" s="131" t="n">
        <x:v>20</x:v>
      </x:c>
      <x:c r="G11" s="131" t="n">
        <x:f t="shared" si="0">E11*F11</x:f>
        <x:v>20</x:v>
      </x:c>
      <x:c r="H11" s="94" t="str">
        <x:v>mA</x:v>
      </x:c>
    </x:row>
    <x:row r="12" ht="15" customHeight="1">
      <x:c r="A12" s="91"/>
      <x:c r="B12" s="94" t="str">
        <x:v>Pressure pad / force sensor</x:v>
      </x:c>
      <x:c r="C12" s="94" t="str">
        <x:v>FSR01CE</x:v>
      </x:c>
      <x:c r="D12" s="95" t="str">
        <x:v>5 V circuit</x:v>
      </x:c>
      <x:c r="E12" s="92" t="n">
        <x:v>1</x:v>
      </x:c>
      <x:c r="F12" s="132" t="n">
        <x:v>0.5</x:v>
      </x:c>
      <x:c r="G12" s="131" t="n">
        <x:f t="shared" si="0">E12*F12</x:f>
        <x:v>0.5</x:v>
      </x:c>
      <x:c r="H12" s="94" t="str">
        <x:v>mA</x:v>
      </x:c>
    </x:row>
    <x:row r="13" ht="15" customHeight="1">
      <x:c r="A13" s="91"/>
      <x:c r="B13" s="91" t="str">
        <x:v>H-bridge motor driver</x:v>
      </x:c>
      <x:c r="C13" s="94" t="str">
        <x:v>SN754410NE</x:v>
      </x:c>
      <x:c r="D13" s="92" t="str">
        <x:v>VCC1: 4.5-5.5 V; VCC2: 4.5-36 V</x:v>
      </x:c>
      <x:c r="E13" s="93" t="n">
        <x:v>1</x:v>
      </x:c>
      <x:c r="F13" s="131" t="n">
        <x:v>70</x:v>
      </x:c>
      <x:c r="G13" s="131" t="n">
        <x:f t="shared" si="0">E13*F13</x:f>
        <x:v>70</x:v>
      </x:c>
      <x:c r="H13" s="94" t="str">
        <x:v>mA</x:v>
      </x:c>
    </x:row>
    <x:row r="14" ht="15" customHeight="1">
      <x:c r="A14" s="91"/>
      <x:c r="B14" s="94" t="str">
        <x:v>DC motor</x:v>
      </x:c>
      <x:c r="C14" s="91" t="str">
        <x:v>RF370CA-15370</x:v>
      </x:c>
      <x:c r="D14" s="92" t="str">
        <x:v>3 - 12 V operating range</x:v>
      </x:c>
      <x:c r="E14" s="93" t="n">
        <x:v>1</x:v>
      </x:c>
      <x:c r="F14" s="131" t="n">
        <x:v>795</x:v>
      </x:c>
      <x:c r="G14" s="131" t="n">
        <x:f>E14*F14</x:f>
        <x:v>795</x:v>
      </x:c>
      <x:c r="H14" s="94" t="str">
        <x:v>mA</x:v>
      </x:c>
    </x:row>
    <x:row r="15" ht="15" customHeight="1">
      <x:c r="A15" s="8"/>
      <x:c r="B15" s="10"/>
      <x:c r="C15" s="8"/>
      <x:c r="D15" s="20"/>
      <x:c r="E15" s="21"/>
      <x:c r="F15" s="133"/>
      <x:c r="G15" s="133"/>
      <x:c r="H15" s="8"/>
    </x:row>
    <x:row r="16" ht="15" customHeight="1">
      <x:c r="A16" s="11"/>
      <x:c r="B16" s="12"/>
      <x:c r="C16" s="12"/>
      <x:c r="D16" s="12"/>
      <x:c r="E16" s="12"/>
      <x:c r="F16" s="134"/>
      <x:c r="G16" s="134"/>
      <x:c r="H16" s="12"/>
    </x:row>
    <x:row r="17" ht="15" customHeight="1">
      <x:c r="A17" s="100" t="str">
        <x:v>+9V Motor Power Rail</x:v>
      </x:c>
      <x:c r="B17" s="90" t="str">
        <x:v>Component Name</x:v>
      </x:c>
      <x:c r="C17" s="90" t="str">
        <x:v>Part Number</x:v>
      </x:c>
      <x:c r="D17" s="89" t="str">
        <x:v>Supply
Voltage
Range</x:v>
      </x:c>
      <x:c r="E17" s="89" t="str">
        <x:v>#</x:v>
      </x:c>
      <x:c r="F17" s="135" t="str">
        <x:v>Maximum / Design Current (mA)</x:v>
      </x:c>
      <x:c r="G17" s="135" t="str">
        <x:v>Total
Current
(mA)</x:v>
      </x:c>
      <x:c r="H17" s="89" t="str">
        <x:v>Unit</x:v>
      </x:c>
    </x:row>
    <x:row r="18" ht="15" customHeight="1">
      <x:c r="A18" s="91"/>
      <x:c r="B18" s="91" t="str">
        <x:v>DC motor</x:v>
      </x:c>
      <x:c r="C18" s="91" t="str">
        <x:v>RF370CA-15370</x:v>
      </x:c>
      <x:c r="D18" s="92" t="str">
        <x:v>3 - 12 V operating range</x:v>
      </x:c>
      <x:c r="E18" s="93" t="n">
        <x:v>1</x:v>
      </x:c>
      <x:c r="F18" s="131" t="n">
        <x:v>795</x:v>
      </x:c>
      <x:c r="G18" s="131" t="n">
        <x:f t="shared" ref="G18:G22" si="1">E18*F18</x:f>
        <x:v>795</x:v>
      </x:c>
      <x:c r="H18" s="94" t="str">
        <x:v>mA</x:v>
      </x:c>
    </x:row>
    <x:row r="19" ht="15" customHeight="1">
      <x:c r="A19" s="91"/>
      <x:c r="B19" s="91" t="str">
        <x:v>H-bridge output supply</x:v>
      </x:c>
      <x:c r="C19" s="91" t="str">
        <x:v>SN754410NE VCC2</x:v>
      </x:c>
      <x:c r="D19" s="92" t="str">
        <x:v>4.5 - 36 V</x:v>
      </x:c>
      <x:c r="E19" s="93" t="n">
        <x:v>1</x:v>
      </x:c>
      <x:c r="F19" s="131" t="n">
        <x:v>0.001</x:v>
      </x:c>
      <x:c r="G19" s="131" t="n">
        <x:f t="shared" si="1">E19*F19</x:f>
        <x:v>0.001</x:v>
      </x:c>
      <x:c r="H19" s="94" t="str">
        <x:v>mA</x:v>
      </x:c>
    </x:row>
    <x:row r="20" ht="15" customHeight="1">
      <x:c r="A20" s="91"/>
      <x:c r="B20" s="91"/>
      <x:c r="C20" s="91"/>
      <x:c r="D20" s="93"/>
      <x:c r="E20" s="93"/>
      <x:c r="F20" s="131"/>
      <x:c r="G20" s="131" t="n">
        <x:f t="shared" si="1">E20*F20</x:f>
        <x:v>0</x:v>
      </x:c>
      <x:c r="H20" s="94" t="str">
        <x:v>mA</x:v>
      </x:c>
    </x:row>
    <x:row r="21" ht="15" customHeight="1">
      <x:c r="A21" s="91"/>
      <x:c r="B21" s="91"/>
      <x:c r="C21" s="91"/>
      <x:c r="D21" s="93"/>
      <x:c r="E21" s="93"/>
      <x:c r="F21" s="131"/>
      <x:c r="G21" s="131" t="n">
        <x:f t="shared" si="1">E21*F21</x:f>
        <x:v>0</x:v>
      </x:c>
      <x:c r="H21" s="94" t="str">
        <x:v>mA</x:v>
      </x:c>
    </x:row>
    <x:row r="22" ht="15" customHeight="1">
      <x:c r="A22" s="91"/>
      <x:c r="B22" s="91"/>
      <x:c r="C22" s="91"/>
      <x:c r="D22" s="93"/>
      <x:c r="E22" s="93"/>
      <x:c r="F22" s="131"/>
      <x:c r="G22" s="131" t="n">
        <x:f t="shared" si="1">E22*F22</x:f>
        <x:v>0</x:v>
      </x:c>
      <x:c r="H22" s="94" t="str">
        <x:v>mA</x:v>
      </x:c>
    </x:row>
    <x:row r="23" ht="15" customHeight="1">
      <x:c r="A23" s="91"/>
      <x:c r="B23" s="101" t="s">
        <x:v>15</x:v>
      </x:c>
      <x:c r="C23" s="91"/>
      <x:c r="D23" s="91"/>
      <x:c r="E23" s="91"/>
      <x:c r="F23" s="131"/>
      <x:c r="G23" s="131" t="n">
        <x:f>SUM(G18:G22)</x:f>
        <x:v>795.001</x:v>
      </x:c>
      <x:c r="H23" s="94" t="s">
        <x:v>16</x:v>
      </x:c>
    </x:row>
    <x:row r="24" ht="15" customHeight="1">
      <x:c r="A24" s="91"/>
      <x:c r="B24" s="101" t="s">
        <x:v>17</x:v>
      </x:c>
      <x:c r="C24" s="91"/>
      <x:c r="D24" s="91"/>
      <x:c r="E24" s="91"/>
      <x:c r="F24" s="131"/>
      <x:c r="G24" s="163" t="n">
        <x:v>0.25</x:v>
      </x:c>
      <x:c r="H24" s="102"/>
    </x:row>
    <x:row r="25" ht="15" customHeight="1">
      <x:c r="A25" s="103"/>
      <x:c r="B25" s="104" t="str">
        <x:v>Total Current Required on +9V Rail</x:v>
      </x:c>
      <x:c r="C25" s="91"/>
      <x:c r="D25" s="91"/>
      <x:c r="E25" s="91"/>
      <x:c r="F25" s="131"/>
      <x:c r="G25" s="131" t="n">
        <x:f>G23*(1+G24)</x:f>
        <x:v>993.75125</x:v>
      </x:c>
      <x:c r="H25" s="94" t="s">
        <x:v>16</x:v>
      </x:c>
    </x:row>
    <x:row r="26" ht="15" customHeight="1">
      <x:c r="A26" s="105"/>
      <x:c r="B26" s="106"/>
      <x:c r="C26" s="106"/>
      <x:c r="D26" s="92"/>
      <x:c r="E26" s="92"/>
      <x:c r="F26" s="136"/>
      <x:c r="G26" s="137"/>
      <x:c r="H26" s="91"/>
    </x:row>
    <x:row r="27" ht="15" customHeight="1">
      <x:c r="A27" s="105" t="str">
        <x:v>c1. Regulator or Source Choice</x:v>
      </x:c>
      <x:c r="B27" s="106" t="str">
        <x:v>+9V External Supply</x:v>
      </x:c>
      <x:c r="C27" s="106" t="str">
        <x:v>Tensility 16-00134</x:v>
      </x:c>
      <x:c r="D27" s="92" t="str">
        <x:v>9 VDC output</x:v>
      </x:c>
      <x:c r="E27" s="92" t="n">
        <x:v>1</x:v>
      </x:c>
      <x:c r="F27" s="136" t="n">
        <x:v>2000</x:v>
      </x:c>
      <x:c r="G27" s="137" t="n">
        <x:v>2000</x:v>
      </x:c>
      <x:c r="H27" s="94" t="str">
        <x:v>mA</x:v>
      </x:c>
    </x:row>
    <x:row r="28" ht="15" customHeight="1">
      <x:c r="A28" s="105"/>
      <x:c r="B28" s="109" t="str">
        <x:v>Total Remaining Current Available on +9V Rail</x:v>
      </x:c>
      <x:c r="C28" s="110"/>
      <x:c r="D28" s="110"/>
      <x:c r="E28" s="110"/>
      <x:c r="F28" s="138"/>
      <x:c r="G28" s="137" t="n">
        <x:f>G27-G25</x:f>
        <x:v>1006.24875</x:v>
      </x:c>
      <x:c r="H28" s="94" t="s">
        <x:v>16</x:v>
      </x:c>
    </x:row>
    <x:row r="29" ht="15" customHeight="1">
      <x:c r="A29" s="100" t="s">
        <x:v>18</x:v>
      </x:c>
      <x:c r="B29" s="90" t="s">
        <x:v>8</x:v>
      </x:c>
      <x:c r="C29" s="90" t="s">
        <x:v>9</x:v>
      </x:c>
      <x:c r="D29" s="89" t="s">
        <x:v>10</x:v>
      </x:c>
      <x:c r="E29" s="89" t="s">
        <x:v>11</x:v>
      </x:c>
      <x:c r="F29" s="135" t="s">
        <x:v>12</x:v>
      </x:c>
      <x:c r="G29" s="135" t="s">
        <x:v>13</x:v>
      </x:c>
      <x:c r="H29" s="89" t="s">
        <x:v>14</x:v>
      </x:c>
    </x:row>
    <x:row r="30" ht="15" customHeight="1">
      <x:c r="A30" s="91"/>
      <x:c r="B30" s="91" t="str">
        <x:v>Microcontroller</x:v>
      </x:c>
      <x:c r="C30" s="91" t="str">
        <x:v>PIC18F57Q43</x:v>
      </x:c>
      <x:c r="D30" s="93" t="str">
        <x:v>1.8 - 5.5 V</x:v>
      </x:c>
      <x:c r="E30" s="93" t="n">
        <x:v>1</x:v>
      </x:c>
      <x:c r="F30" s="131" t="n">
        <x:v>250</x:v>
      </x:c>
      <x:c r="G30" s="131" t="n">
        <x:f t="shared" ref="G30:G34" si="2">E30*F30</x:f>
        <x:v>250</x:v>
      </x:c>
      <x:c r="H30" s="94" t="str">
        <x:v>mA</x:v>
      </x:c>
    </x:row>
    <x:row r="31" ht="15" customHeight="1">
      <x:c r="A31" s="91"/>
      <x:c r="B31" s="94" t="str">
        <x:v>Quad op-amp</x:v>
      </x:c>
      <x:c r="C31" s="94" t="str">
        <x:v>MCP6004</x:v>
      </x:c>
      <x:c r="D31" s="92" t="str">
        <x:v>1.8 - 6.0 V</x:v>
      </x:c>
      <x:c r="E31" s="92" t="n">
        <x:v>1</x:v>
      </x:c>
      <x:c r="F31" s="132" t="n">
        <x:v>0.68</x:v>
      </x:c>
      <x:c r="G31" s="131" t="n">
        <x:f t="shared" si="2">E31*F31</x:f>
        <x:v>0.68</x:v>
      </x:c>
      <x:c r="H31" s="94" t="str">
        <x:v>mA</x:v>
      </x:c>
    </x:row>
    <x:row r="32" ht="15" customHeight="1">
      <x:c r="A32" s="91"/>
      <x:c r="B32" s="91" t="str">
        <x:v>Indicator LED</x:v>
      </x:c>
      <x:c r="C32" s="91" t="str">
        <x:v>D1 (generic LED)</x:v>
      </x:c>
      <x:c r="D32" s="93" t="str">
        <x:v>5 V rail (330 ohm series R)</x:v>
      </x:c>
      <x:c r="E32" s="93" t="n">
        <x:v>1</x:v>
      </x:c>
      <x:c r="F32" s="131" t="n">
        <x:v>20</x:v>
      </x:c>
      <x:c r="G32" s="131" t="n">
        <x:f t="shared" si="2">E32*F32</x:f>
        <x:v>20</x:v>
      </x:c>
      <x:c r="H32" s="94" t="str">
        <x:v>mA</x:v>
      </x:c>
    </x:row>
    <x:row r="33" ht="15" customHeight="1">
      <x:c r="A33" s="91"/>
      <x:c r="B33" s="91" t="str">
        <x:v>Pressure pad / force sensor</x:v>
      </x:c>
      <x:c r="C33" s="91" t="str">
        <x:v>FSR01CE</x:v>
      </x:c>
      <x:c r="D33" s="93" t="str">
        <x:v>5 V circuit</x:v>
      </x:c>
      <x:c r="E33" s="93" t="n">
        <x:v>1</x:v>
      </x:c>
      <x:c r="F33" s="131" t="n">
        <x:v>0.5</x:v>
      </x:c>
      <x:c r="G33" s="131" t="n">
        <x:f t="shared" si="2">E33*F33</x:f>
        <x:v>0.5</x:v>
      </x:c>
      <x:c r="H33" s="94" t="str">
        <x:v>mA</x:v>
      </x:c>
    </x:row>
    <x:row r="34" ht="15" customHeight="1">
      <x:c r="A34" s="91"/>
      <x:c r="B34" s="91" t="str">
        <x:v>H-bridge logic supply</x:v>
      </x:c>
      <x:c r="C34" s="91" t="str">
        <x:v>SN754410NE VCC1</x:v>
      </x:c>
      <x:c r="D34" s="93" t="str">
        <x:v>4.5 - 5.5 V</x:v>
      </x:c>
      <x:c r="E34" s="93" t="n">
        <x:v>1</x:v>
      </x:c>
      <x:c r="F34" s="131" t="n">
        <x:v>70</x:v>
      </x:c>
      <x:c r="G34" s="131" t="n">
        <x:f t="shared" si="2">E34*F34</x:f>
        <x:v>70</x:v>
      </x:c>
      <x:c r="H34" s="94" t="str">
        <x:v>mA</x:v>
      </x:c>
    </x:row>
    <x:row r="35" ht="15" customHeight="1">
      <x:c r="A35" s="91"/>
      <x:c r="B35" s="101" t="s">
        <x:v>15</x:v>
      </x:c>
      <x:c r="C35" s="91"/>
      <x:c r="D35" s="91"/>
      <x:c r="E35" s="91"/>
      <x:c r="F35" s="131"/>
      <x:c r="G35" s="131" t="n">
        <x:f>SUM(G30:G34)</x:f>
        <x:v>341.18</x:v>
      </x:c>
      <x:c r="H35" s="94" t="s">
        <x:v>16</x:v>
      </x:c>
    </x:row>
    <x:row r="36" ht="15" customHeight="1">
      <x:c r="A36" s="91"/>
      <x:c r="B36" s="101" t="s">
        <x:v>17</x:v>
      </x:c>
      <x:c r="C36" s="91"/>
      <x:c r="D36" s="91"/>
      <x:c r="E36" s="91"/>
      <x:c r="F36" s="131"/>
      <x:c r="G36" s="163">
        <x:v>0.25</x:v>
      </x:c>
      <x:c r="H36" s="102"/>
    </x:row>
    <x:row r="37" ht="15" customHeight="1">
      <x:c r="A37" s="103"/>
      <x:c r="B37" s="104" t="s">
        <x:v>19</x:v>
      </x:c>
      <x:c r="C37" s="91"/>
      <x:c r="D37" s="91"/>
      <x:c r="E37" s="91"/>
      <x:c r="F37" s="131"/>
      <x:c r="G37" s="131" t="n">
        <x:f>G35*(1+G36)</x:f>
        <x:v>426.475</x:v>
      </x:c>
      <x:c r="H37" s="94" t="s">
        <x:v>16</x:v>
      </x:c>
    </x:row>
    <x:row r="38" ht="15" customHeight="1">
      <x:c r="A38" s="105"/>
      <x:c r="B38" s="106"/>
      <x:c r="C38" s="106"/>
      <x:c r="D38" s="92"/>
      <x:c r="E38" s="92"/>
      <x:c r="F38" s="136"/>
      <x:c r="G38" s="137"/>
      <x:c r="H38" s="91"/>
    </x:row>
    <x:row r="39" ht="15" customHeight="1">
      <x:c r="A39" s="105" t="s">
        <x:v>20</x:v>
      </x:c>
      <x:c r="B39" s="106" t="s">
        <x:v>21</x:v>
      </x:c>
      <x:c r="C39" s="106" t="s">
        <x:v>22</x:v>
      </x:c>
      <x:c r="D39" s="92" t="s">
        <x:v>23</x:v>
      </x:c>
      <x:c r="E39" s="92">
        <x:v>1</x:v>
      </x:c>
      <x:c r="F39" s="136">
        <x:v>1000</x:v>
      </x:c>
      <x:c r="G39" s="137">
        <x:v>1000</x:v>
      </x:c>
      <x:c r="H39" s="94" t="s">
        <x:v>16</x:v>
      </x:c>
    </x:row>
    <x:row r="40" ht="15" customHeight="1">
      <x:c r="A40" s="105"/>
      <x:c r="B40" s="109" t="s">
        <x:v>24</x:v>
      </x:c>
      <x:c r="C40" s="110"/>
      <x:c r="D40" s="110"/>
      <x:c r="E40" s="110"/>
      <x:c r="F40" s="138"/>
      <x:c r="G40" s="137" t="n">
        <x:f>G39-G37</x:f>
        <x:v>573.525</x:v>
      </x:c>
      <x:c r="H40" s="94" t="s">
        <x:v>16</x:v>
      </x:c>
    </x:row>
    <x:row r="41" ht="15" customHeight="1">
      <x:c r="A41" s="22" t="s">
        <x:v>25</x:v>
      </x:c>
      <x:c r="B41" s="14" t="s">
        <x:v>8</x:v>
      </x:c>
      <x:c r="C41" s="14" t="s">
        <x:v>9</x:v>
      </x:c>
      <x:c r="D41" s="13" t="s">
        <x:v>10</x:v>
      </x:c>
      <x:c r="E41" s="13" t="s">
        <x:v>11</x:v>
      </x:c>
      <x:c r="F41" s="139" t="s">
        <x:v>12</x:v>
      </x:c>
      <x:c r="G41" s="139" t="s">
        <x:v>13</x:v>
      </x:c>
      <x:c r="H41" s="13" t="s">
        <x:v>14</x:v>
      </x:c>
    </x:row>
    <x:row r="42" ht="15" customHeight="1">
      <x:c r="A42" s="15"/>
      <x:c r="B42" s="18"/>
      <x:c r="C42" s="15"/>
      <x:c r="D42" s="16"/>
      <x:c r="E42" s="17"/>
      <x:c r="F42" s="140"/>
      <x:c r="G42" s="140"/>
      <x:c r="H42" s="18"/>
    </x:row>
    <x:row r="43" ht="15" customHeight="1">
      <x:c r="A43" s="15"/>
      <x:c r="B43" s="15"/>
      <x:c r="C43" s="15"/>
      <x:c r="D43" s="17"/>
      <x:c r="E43" s="17"/>
      <x:c r="F43" s="141"/>
      <x:c r="G43" s="141" t="n">
        <x:f t="shared" ref="G43:G45" si="3">E43*F43</x:f>
        <x:v>0</x:v>
      </x:c>
      <x:c r="H43" s="18"/>
    </x:row>
    <x:row r="44" ht="15" customHeight="1">
      <x:c r="A44" s="15"/>
      <x:c r="B44" s="15"/>
      <x:c r="C44" s="15"/>
      <x:c r="D44" s="17"/>
      <x:c r="E44" s="17"/>
      <x:c r="F44" s="141"/>
      <x:c r="G44" s="141">
        <x:f t="shared" si="3"/>
        <x:v>0</x:v>
      </x:c>
      <x:c r="H44" s="18"/>
    </x:row>
    <x:row r="45" ht="15" customHeight="1">
      <x:c r="A45" s="15"/>
      <x:c r="B45" s="15"/>
      <x:c r="C45" s="15"/>
      <x:c r="D45" s="17"/>
      <x:c r="E45" s="17"/>
      <x:c r="F45" s="141"/>
      <x:c r="G45" s="141">
        <x:f t="shared" si="3"/>
        <x:v>0</x:v>
      </x:c>
      <x:c r="H45" s="18"/>
    </x:row>
    <x:row r="46" ht="15" customHeight="1">
      <x:c r="A46" s="15"/>
      <x:c r="B46" s="23"/>
      <x:c r="C46" s="24"/>
      <x:c r="D46" s="24"/>
      <x:c r="E46" s="24"/>
      <x:c r="F46" s="141"/>
      <x:c r="G46" s="141"/>
      <x:c r="H46" s="18"/>
    </x:row>
    <x:row r="47" ht="15" customHeight="1">
      <x:c r="A47" s="15"/>
      <x:c r="B47" s="23"/>
      <x:c r="C47" s="24"/>
      <x:c r="D47" s="24"/>
      <x:c r="E47" s="24"/>
      <x:c r="F47" s="141"/>
      <x:c r="G47" s="141"/>
      <x:c r="H47" s="25"/>
    </x:row>
    <x:row r="48" ht="15" customHeight="1">
      <x:c r="A48" s="15"/>
      <x:c r="B48" s="27"/>
      <x:c r="C48" s="24"/>
      <x:c r="D48" s="24"/>
      <x:c r="E48" s="24"/>
      <x:c r="F48" s="141"/>
      <x:c r="G48" s="141"/>
      <x:c r="H48" s="18"/>
    </x:row>
    <x:row r="49" ht="15" customHeight="1">
      <x:c r="A49" s="28"/>
      <x:c r="B49" s="29"/>
      <x:c r="C49" s="29"/>
      <x:c r="D49" s="16"/>
      <x:c r="E49" s="16"/>
      <x:c r="F49" s="142"/>
      <x:c r="G49" s="143"/>
      <x:c r="H49" s="15"/>
    </x:row>
    <x:row r="50" ht="15" customHeight="1">
      <x:c r="A50" s="28" t="s">
        <x:v>26</x:v>
      </x:c>
      <x:c r="B50" s="29" t="s">
        <x:v>27</x:v>
      </x:c>
      <x:c r="C50" s="29"/>
      <x:c r="D50" s="16"/>
      <x:c r="E50" s="16"/>
      <x:c r="F50" s="142"/>
      <x:c r="G50" s="143">
        <x:v>0</x:v>
      </x:c>
      <x:c r="H50" s="18" t="s">
        <x:v>16</x:v>
      </x:c>
    </x:row>
    <x:row r="51" ht="15" customHeight="1">
      <x:c r="A51" s="28"/>
      <x:c r="B51" s="32" t="s">
        <x:v>28</x:v>
      </x:c>
      <x:c r="C51" s="12"/>
      <x:c r="D51" s="12"/>
      <x:c r="E51" s="12"/>
      <x:c r="F51" s="134"/>
      <x:c r="G51" s="143">
        <x:v>0</x:v>
      </x:c>
      <x:c r="H51" s="18" t="s">
        <x:v>16</x:v>
      </x:c>
    </x:row>
    <x:row r="52" ht="15" customHeight="1">
      <x:c r="A52" s="22" t="s">
        <x:v>29</x:v>
      </x:c>
      <x:c r="B52" s="14" t="s">
        <x:v>8</x:v>
      </x:c>
      <x:c r="C52" s="14" t="s">
        <x:v>9</x:v>
      </x:c>
      <x:c r="D52" s="13" t="s">
        <x:v>10</x:v>
      </x:c>
      <x:c r="E52" s="13" t="s">
        <x:v>11</x:v>
      </x:c>
      <x:c r="F52" s="139" t="s">
        <x:v>12</x:v>
      </x:c>
      <x:c r="G52" s="139" t="s">
        <x:v>13</x:v>
      </x:c>
      <x:c r="H52" s="13" t="s">
        <x:v>14</x:v>
      </x:c>
    </x:row>
    <x:row r="53" ht="15" customHeight="1">
      <x:c r="A53" s="15"/>
      <x:c r="B53" s="18"/>
      <x:c r="C53" s="15"/>
      <x:c r="D53" s="16"/>
      <x:c r="E53" s="17"/>
      <x:c r="F53" s="141"/>
      <x:c r="G53" s="141"/>
      <x:c r="H53" s="18"/>
    </x:row>
    <x:row r="54" ht="15" customHeight="1">
      <x:c r="A54" s="15"/>
      <x:c r="B54" s="15"/>
      <x:c r="C54" s="15"/>
      <x:c r="D54" s="17"/>
      <x:c r="E54" s="17"/>
      <x:c r="F54" s="141"/>
      <x:c r="G54" s="141" t="n">
        <x:f t="shared" ref="G54:G56" si="4">E54*F54</x:f>
        <x:v>0</x:v>
      </x:c>
      <x:c r="H54" s="18"/>
    </x:row>
    <x:row r="55" ht="15" customHeight="1">
      <x:c r="A55" s="15"/>
      <x:c r="B55" s="15"/>
      <x:c r="C55" s="15"/>
      <x:c r="D55" s="17"/>
      <x:c r="E55" s="17"/>
      <x:c r="F55" s="141"/>
      <x:c r="G55" s="141">
        <x:f t="shared" si="4"/>
        <x:v>0</x:v>
      </x:c>
      <x:c r="H55" s="18"/>
    </x:row>
    <x:row r="56" ht="15" customHeight="1">
      <x:c r="A56" s="15"/>
      <x:c r="B56" s="15"/>
      <x:c r="C56" s="15"/>
      <x:c r="D56" s="17"/>
      <x:c r="E56" s="17"/>
      <x:c r="F56" s="141"/>
      <x:c r="G56" s="141">
        <x:f t="shared" si="4"/>
        <x:v>0</x:v>
      </x:c>
      <x:c r="H56" s="18"/>
    </x:row>
    <x:row r="57" ht="15" customHeight="1">
      <x:c r="A57" s="15"/>
      <x:c r="B57" s="23"/>
      <x:c r="C57" s="24"/>
      <x:c r="D57" s="24"/>
      <x:c r="E57" s="24"/>
      <x:c r="F57" s="141"/>
      <x:c r="G57" s="141"/>
      <x:c r="H57" s="18"/>
    </x:row>
    <x:row r="58" ht="15" customHeight="1">
      <x:c r="A58" s="15"/>
      <x:c r="B58" s="23"/>
      <x:c r="C58" s="24"/>
      <x:c r="D58" s="24"/>
      <x:c r="E58" s="24"/>
      <x:c r="F58" s="141"/>
      <x:c r="G58" s="141"/>
      <x:c r="H58" s="25"/>
    </x:row>
    <x:row r="59" ht="15" customHeight="1">
      <x:c r="A59" s="15"/>
      <x:c r="B59" s="27"/>
      <x:c r="C59" s="24"/>
      <x:c r="D59" s="24"/>
      <x:c r="E59" s="24"/>
      <x:c r="F59" s="141"/>
      <x:c r="G59" s="141"/>
      <x:c r="H59" s="18"/>
    </x:row>
    <x:row r="60" ht="15" customHeight="1">
      <x:c r="A60" s="28"/>
      <x:c r="B60" s="18"/>
      <x:c r="C60" s="15"/>
      <x:c r="D60" s="16"/>
      <x:c r="E60" s="17"/>
      <x:c r="F60" s="141"/>
      <x:c r="G60" s="141"/>
      <x:c r="H60" s="8"/>
    </x:row>
    <x:row r="61" ht="15" customHeight="1">
      <x:c r="A61" s="28" t="s">
        <x:v>26</x:v>
      </x:c>
      <x:c r="B61" s="18" t="s">
        <x:v>27</x:v>
      </x:c>
      <x:c r="C61" s="15"/>
      <x:c r="D61" s="16"/>
      <x:c r="E61" s="17"/>
      <x:c r="F61" s="141"/>
      <x:c r="G61" s="141">
        <x:v>0</x:v>
      </x:c>
      <x:c r="H61" s="18" t="s">
        <x:v>16</x:v>
      </x:c>
    </x:row>
    <x:row r="62" ht="15" customHeight="1">
      <x:c r="A62" s="15"/>
      <x:c r="B62" s="32" t="s">
        <x:v>30</x:v>
      </x:c>
      <x:c r="C62" s="24"/>
      <x:c r="D62" s="24"/>
      <x:c r="E62" s="24"/>
      <x:c r="F62" s="141"/>
      <x:c r="G62" s="143">
        <x:v>0</x:v>
      </x:c>
      <x:c r="H62" s="18" t="s">
        <x:v>16</x:v>
      </x:c>
    </x:row>
    <x:row r="63" ht="15" customHeight="1">
      <x:c r="A63" s="33"/>
      <x:c r="B63" s="33"/>
      <x:c r="C63" s="33"/>
      <x:c r="D63" s="33"/>
      <x:c r="E63" s="33"/>
      <x:c r="F63" s="144"/>
      <x:c r="G63" s="145"/>
      <x:c r="H63" s="34"/>
    </x:row>
    <x:row r="64" ht="15" customHeight="1">
      <x:c r="A64" s="11"/>
      <x:c r="B64" s="12"/>
      <x:c r="C64" s="12"/>
      <x:c r="D64" s="12"/>
      <x:c r="E64" s="12"/>
      <x:c r="F64" s="134"/>
      <x:c r="G64" s="134"/>
      <x:c r="H64" s="12"/>
    </x:row>
    <x:row r="65" ht="15" customHeight="1">
      <x:c r="A65" s="35"/>
      <x:c r="B65" s="12"/>
      <x:c r="C65" s="12"/>
      <x:c r="D65" s="12"/>
      <x:c r="E65" s="12"/>
      <x:c r="F65" s="134"/>
      <x:c r="G65" s="134"/>
      <x:c r="H65" s="12"/>
    </x:row>
    <x:row r="66" ht="15" customHeight="1">
      <x:c r="A66" s="11"/>
      <x:c r="B66" s="12"/>
      <x:c r="C66" s="12"/>
      <x:c r="D66" s="12"/>
      <x:c r="E66" s="12"/>
      <x:c r="F66" s="134"/>
      <x:c r="G66" s="134"/>
      <x:c r="H66" s="12"/>
    </x:row>
    <x:row r="67" ht="15" customHeight="1">
      <x:c r="A67" s="100" t="str">
        <x:v>External Power Source 1</x:v>
      </x:c>
      <x:c r="B67" s="90" t="str">
        <x:v>Component Name</x:v>
      </x:c>
      <x:c r="C67" s="90" t="str">
        <x:v>Part Number</x:v>
      </x:c>
      <x:c r="D67" s="89" t="str">
        <x:v>Supply
Voltage
Range</x:v>
      </x:c>
      <x:c r="E67" s="89" t="str">
        <x:v>Output Voltage</x:v>
      </x:c>
      <x:c r="F67" s="135" t="str">
        <x:v>Absolute
Maximum
Current (mA)</x:v>
      </x:c>
      <x:c r="G67" s="135" t="str">
        <x:v>Total
Current
(mA)</x:v>
      </x:c>
      <x:c r="H67" s="89" t="str">
        <x:v>Unit</x:v>
      </x:c>
    </x:row>
    <x:row r="68" ht="15" customHeight="1">
      <x:c r="A68" s="122" t="str">
        <x:v>External Power Source 1</x:v>
      </x:c>
      <x:c r="B68" s="106" t="str">
        <x:v>Component Name</x:v>
      </x:c>
      <x:c r="C68" s="92" t="str">
        <x:v>Part Number</x:v>
      </x:c>
      <x:c r="D68" s="92" t="str">
        <x:v>Supply
Voltage
Range</x:v>
      </x:c>
      <x:c r="E68" s="92" t="str">
        <x:v>Output Voltage</x:v>
      </x:c>
      <x:c r="F68" s="136" t="str">
        <x:v>Absolute
Maximum
Current (mA)</x:v>
      </x:c>
      <x:c r="G68" s="136" t="str">
        <x:v>Total
Current
(mA)</x:v>
      </x:c>
      <x:c r="H68" s="106" t="str">
        <x:v>Unit</x:v>
      </x:c>
    </x:row>
    <x:row r="69" ht="15" customHeight="1">
      <x:c r="A69" s="123" t="str">
        <x:v>Power Source 1 Selection</x:v>
      </x:c>
      <x:c r="B69" s="106" t="str">
        <x:v>AC/DC wall adapter</x:v>
      </x:c>
      <x:c r="C69" s="106" t="str">
        <x:v>Tensility 16-00134</x:v>
      </x:c>
      <x:c r="D69" s="92" t="str">
        <x:v>100-240 VAC</x:v>
      </x:c>
      <x:c r="E69" s="92" t="str">
        <x:v>9 VDC</x:v>
      </x:c>
      <x:c r="F69" s="136" t="n">
        <x:v>2000</x:v>
      </x:c>
      <x:c r="G69" s="137" t="n">
        <x:v>2000</x:v>
      </x:c>
      <x:c r="H69" s="94" t="str">
        <x:v>mA</x:v>
      </x:c>
    </x:row>
    <x:row r="70" ht="15" customHeight="1">
      <x:c r="A70" s="124"/>
      <x:c r="B70" s="106"/>
      <x:c r="C70" s="106"/>
      <x:c r="D70" s="92"/>
      <x:c r="E70" s="92"/>
      <x:c r="F70" s="136"/>
      <x:c r="G70" s="137" t="n">
        <x:f t="shared" ref="G70:G72" si="5">E70*F70</x:f>
        <x:v>0</x:v>
      </x:c>
      <x:c r="H70" s="94"/>
    </x:row>
    <x:row r="71" ht="15" customHeight="1">
      <x:c r="A71" s="110" t="str">
        <x:v>Power Rails Connected to External Power Source 1</x:v>
      </x:c>
      <x:c r="B71" s="106" t="str">
        <x:v>+5V Regulator + +9V Motor Rail</x:v>
      </x:c>
      <x:c r="C71" s="106" t="str">
        <x:v>MC7805CTG + SN754410NE</x:v>
      </x:c>
      <x:c r="D71" s="92" t="str">
        <x:v>9 V input</x:v>
      </x:c>
      <x:c r="E71" s="92" t="n">
        <x:v>1</x:v>
      </x:c>
      <x:c r="F71" s="136" t="n">
        <x:v>2000</x:v>
      </x:c>
      <x:c r="G71" s="137" t="n">
        <x:f t="shared" si="5"/>
        <x:v>2000</x:v>
      </x:c>
      <x:c r="H71" s="94" t="str">
        <x:v>mA</x:v>
      </x:c>
    </x:row>
    <x:row r="72" ht="15" customHeight="1">
      <x:c r="A72" s="110"/>
      <x:c r="B72" s="94"/>
      <x:c r="C72" s="91"/>
      <x:c r="D72" s="92"/>
      <x:c r="E72" s="93"/>
      <x:c r="F72" s="131"/>
      <x:c r="G72" s="131">
        <x:f t="shared" si="5"/>
        <x:v>0</x:v>
      </x:c>
      <x:c r="H72" s="94"/>
    </x:row>
    <x:row r="73" ht="15" customHeight="1">
      <x:c r="A73" s="123"/>
      <x:c r="B73" s="109"/>
      <x:c r="C73" s="91"/>
      <x:c r="D73" s="91"/>
      <x:c r="E73" s="91"/>
      <x:c r="F73" s="131"/>
      <x:c r="G73" s="136"/>
      <x:c r="H73" s="106"/>
    </x:row>
    <x:row r="74" ht="15" customHeight="1">
      <x:c r="A74" s="123"/>
      <x:c r="B74" s="125" t="str">
        <x:v>Estimated worst-case current required from source</x:v>
      </x:c>
      <x:c r="C74" s="125"/>
      <x:c r="D74" s="123"/>
      <x:c r="E74" s="123"/>
      <x:c r="F74" s="146"/>
      <x:c r="G74" s="146" t="n">
        <x:f>G37+G25</x:f>
        <x:v>1420.2262500000002</x:v>
      </x:c>
      <x:c r="H74" s="123" t="s">
        <x:v>16</x:v>
      </x:c>
    </x:row>
    <x:row r="75" ht="15" customHeight="1">
      <x:c r="A75" s="100"/>
      <x:c r="B75" s="90" t="str">
        <x:v>Total Remaining Current Available on External Power Source 1</x:v>
      </x:c>
      <x:c r="C75" s="90"/>
      <x:c r="D75" s="89"/>
      <x:c r="E75" s="89"/>
      <x:c r="F75" s="135"/>
      <x:c r="G75" s="135" t="n">
        <x:f>G69-G74</x:f>
        <x:v>579.7737499999998</x:v>
      </x:c>
      <x:c r="H75" s="89" t="s">
        <x:v>16</x:v>
      </x:c>
    </x:row>
    <x:row r="76" ht="15" customHeight="1">
      <x:c r="A76" s="37"/>
      <x:c r="B76" s="29"/>
      <x:c r="C76" s="16"/>
      <x:c r="D76" s="16"/>
      <x:c r="E76" s="16"/>
      <x:c r="F76" s="30"/>
      <x:c r="G76" s="30"/>
      <x:c r="H76" s="29"/>
    </x:row>
    <x:row r="77" ht="15" customHeight="1">
      <x:c r="A77" s="20" t="s">
        <x:v>31</x:v>
      </x:c>
      <x:c r="B77" s="29" t="s">
        <x:v>32</x:v>
      </x:c>
      <x:c r="C77" s="29"/>
      <x:c r="D77" s="16"/>
      <x:c r="E77" s="16"/>
      <x:c r="F77" s="30"/>
      <x:c r="G77" s="31"/>
      <x:c r="H77" s="18"/>
    </x:row>
    <x:row r="78" ht="15" customHeight="1">
      <x:c r="A78" s="38"/>
      <x:c r="B78" s="29"/>
      <x:c r="C78" s="29"/>
      <x:c r="D78" s="16"/>
      <x:c r="E78" s="16"/>
      <x:c r="F78" s="30"/>
      <x:c r="G78" s="31"/>
      <x:c r="H78" s="18"/>
    </x:row>
    <x:row r="79" ht="15" customHeight="1">
      <x:c r="A79" s="12"/>
      <x:c r="B79" s="29"/>
      <x:c r="C79" s="29"/>
      <x:c r="D79" s="16"/>
      <x:c r="E79" s="16"/>
      <x:c r="F79" s="30"/>
      <x:c r="G79" s="31"/>
      <x:c r="H79" s="18"/>
    </x:row>
    <x:row r="80" ht="15" customHeight="1">
      <x:c r="A80" s="12"/>
      <x:c r="B80" s="18"/>
      <x:c r="C80" s="15"/>
      <x:c r="D80" s="16"/>
      <x:c r="E80" s="17"/>
      <x:c r="F80" s="15"/>
      <x:c r="G80" s="15"/>
      <x:c r="H80" s="18"/>
    </x:row>
    <x:row r="81" ht="15" customHeight="1">
      <x:c r="A81" s="20"/>
      <x:c r="B81" s="32"/>
      <x:c r="C81" s="24"/>
      <x:c r="D81" s="24"/>
      <x:c r="E81" s="24"/>
      <x:c r="F81" s="24"/>
      <x:c r="G81" s="30"/>
      <x:c r="H81" s="29"/>
    </x:row>
    <x:row r="82" ht="15" customHeight="1">
      <x:c r="A82" s="26"/>
      <x:c r="B82" s="18"/>
      <x:c r="C82" s="15"/>
      <x:c r="D82" s="39"/>
      <x:c r="E82" s="16"/>
      <x:c r="F82" s="18"/>
      <x:c r="G82" s="15"/>
      <x:c r="H82" s="17"/>
    </x:row>
    <x:row r="83" ht="15" customHeight="1">
      <x:c r="A83" s="11"/>
      <x:c r="B83" s="12"/>
      <x:c r="C83" s="12"/>
      <x:c r="D83" s="12"/>
      <x:c r="E83" s="12"/>
      <x:c r="F83" s="12"/>
      <x:c r="G83" s="40"/>
      <x:c r="H83" s="40"/>
    </x:row>
    <x:row r="84" ht="15" customHeight="1">
      <x:c r="A84" s="41" t="s">
        <x:v>33</x:v>
      </x:c>
      <x:c r="B84" s="41" t="s">
        <x:v>34</x:v>
      </x:c>
      <x:c r="C84" s="41"/>
      <x:c r="D84" s="13"/>
      <x:c r="E84" s="13"/>
      <x:c r="F84" s="13"/>
      <x:c r="G84" s="13"/>
      <x:c r="H84" s="41"/>
    </x:row>
    <x:row r="85" ht="15" customHeight="1">
      <x:c r="A85" s="15"/>
      <x:c r="B85" s="15"/>
      <x:c r="C85" s="15"/>
      <x:c r="D85" s="16"/>
      <x:c r="E85" s="17"/>
      <x:c r="F85" s="18"/>
      <x:c r="G85" s="15"/>
      <x:c r="H85" s="15"/>
    </x:row>
    <x:row r="86" ht="15" customHeight="1">
      <x:c r="A86" s="15"/>
      <x:c r="B86" s="15"/>
      <x:c r="C86" s="15"/>
      <x:c r="D86" s="17"/>
      <x:c r="E86" s="17"/>
      <x:c r="F86" s="42"/>
      <x:c r="G86" s="15"/>
      <x:c r="H86" s="18"/>
    </x:row>
    <x:row r="87" ht="15" customHeight="1">
      <x:c r="A87" s="43"/>
      <x:c r="B87" s="24"/>
      <x:c r="C87" s="24"/>
      <x:c r="D87" s="24"/>
      <x:c r="E87" s="24"/>
      <x:c r="F87" s="24"/>
      <x:c r="G87" s="44"/>
      <x:c r="H87" s="44"/>
    </x:row>
    <x:row r="88" ht="15" customHeight="1">
      <x:c r="A88" s="94" t="str">
        <x:v>Notes</x:v>
      </x:c>
      <x:c r="B88" s="91" t="str">
        <x:v>FSR, pushbutton, resistors, and capacitors are passive. Motor current at 9 V is estimated conservatively from the manufacturer 12 V stall current (1.06 A) by linear scaling: 1.06 A x 9/12 = 0.795 A. SN754410 VCC1 maximum no-load supply current uses the 70 mA datasheet maximum (outputs low).</x:v>
      </x:c>
      <x:c r="C88" s="91"/>
      <x:c r="D88" s="91"/>
      <x:c r="E88" s="91"/>
      <x:c r="F88" s="91"/>
      <x:c r="G88" s="91"/>
      <x:c r="H88" s="91"/>
    </x:row>
    <x:row r="89" ht="15" customHeight="1">
      <x:c r="A89" s="129" t="str">
        <x:v>Sources</x:v>
      </x:c>
      <x:c r="B89" s="130" t="str">
        <x:v>Motor: https://product.mabuchi-motor.com/detail.html?id=78 ; H-bridge: https://www.ti.com/lit/ds/symlink/sn754410.pdf ; Adapter selection: Tensility 16-00134, 9 V / 2 A.</x:v>
      </x:c>
      <x:c r="C89" s="130"/>
      <x:c r="D89" s="130"/>
      <x:c r="E89" s="130"/>
      <x:c r="F89" s="130"/>
      <x:c r="G89" s="130"/>
      <x:c r="H89" s="130"/>
    </x:row>
  </x:sheetData>
  <x:mergeCells>
    <x:mergeCell ref="A65:H65"/>
    <x:mergeCell ref="A88:H88"/>
    <x:mergeCell ref="A89:H89"/>
    <x:mergeCell ref="A66:H66"/>
    <x:mergeCell ref="A70:A72"/>
    <x:mergeCell ref="B73:F73"/>
    <x:mergeCell ref="A78:A80"/>
    <x:mergeCell ref="B81:F81"/>
    <x:mergeCell ref="A83:F83"/>
    <x:mergeCell ref="A87:F87"/>
    <x:mergeCell ref="B57:F57"/>
    <x:mergeCell ref="B58:F58"/>
    <x:mergeCell ref="B59:F59"/>
    <x:mergeCell ref="B62:F62"/>
    <x:mergeCell ref="A64:H64"/>
    <x:mergeCell ref="B40:F40"/>
    <x:mergeCell ref="B46:F46"/>
    <x:mergeCell ref="B47:F47"/>
    <x:mergeCell ref="B48:F48"/>
    <x:mergeCell ref="B51:F51"/>
    <x:mergeCell ref="B25:F25"/>
    <x:mergeCell ref="B28:F28"/>
    <x:mergeCell ref="B35:F35"/>
    <x:mergeCell ref="B36:F36"/>
    <x:mergeCell ref="B37:F37"/>
    <x:mergeCell ref="A1:H1"/>
    <x:mergeCell ref="A7:H7"/>
    <x:mergeCell ref="A16:H16"/>
    <x:mergeCell ref="B23:F23"/>
    <x:mergeCell ref="B24:F24"/>
  </x:mergeCells>
  <x:conditionalFormatting sqref="G28:G28 G40:G40 G51:G51 G62:G62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8b609d16c59c49dd"/>
  <x:legacyDrawing xmlns:r="http://schemas.openxmlformats.org/officeDocument/2006/relationships" r:id="Rfb8f975f95724f5f"/>
</x:worksheet>
</file>